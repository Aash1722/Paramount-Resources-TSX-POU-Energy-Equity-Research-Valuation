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napshot" sheetId="2" state="visible" r:id="rId4"/>
    <sheet name="Financials_Hist" sheetId="3" state="visible" r:id="rId5"/>
    <sheet name="Production_Ops" sheetId="4" state="visible" r:id="rId6"/>
    <sheet name="Reserves" sheetId="5" state="visible" r:id="rId7"/>
    <sheet name="Guidance" sheetId="6" state="visible" r:id="rId8"/>
    <sheet name="Assets" sheetId="7" state="visible" r:id="rId9"/>
    <sheet name="Hedges_Credit" sheetId="8" state="visible" r:id="rId10"/>
    <sheet name="PriceDeck" sheetId="9" state="visible" r:id="rId11"/>
    <sheet name="Derived_Metric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<sst xmlns="http://schemas.openxmlformats.org/spreadsheetml/2006/main" count="487" uniqueCount="413">
  <si>
    <t xml:space="preserve">Paramount Resources Ltd. (TSX: POU) — PE Take-Private Case Study</t>
  </si>
  <si>
    <t xml:space="preserve">Module 1: Data Book. Every figure below is sourced from public disclosure. All downstream models reference this file.</t>
  </si>
  <si>
    <t xml:space="preserve">PURPOSE</t>
  </si>
  <si>
    <t xml:space="preserve">This workbook</t>
  </si>
  <si>
    <t xml:space="preserve">Single source of truth. Historical financials, operating data, reserves, guidance, capital structure and the price deck.</t>
  </si>
  <si>
    <t xml:space="preserve">What it is not</t>
  </si>
  <si>
    <t xml:space="preserve">It contains no forecast of the business. The operating model, NAV, LBO and Monte Carlo modules are built separately and link here.</t>
  </si>
  <si>
    <t xml:space="preserve">Rule</t>
  </si>
  <si>
    <t xml:space="preserve">No downstream module should hardcode a POU figure. If a number is needed, add it here first with its source, then reference it.</t>
  </si>
  <si>
    <t xml:space="preserve">COLOUR LEGEND (financial modelling convention)</t>
  </si>
  <si>
    <t xml:space="preserve">Blue text</t>
  </si>
  <si>
    <t xml:space="preserve">Hardcoded input taken from a source document, or a scenario lever you may change.</t>
  </si>
  <si>
    <t xml:space="preserve">Black text</t>
  </si>
  <si>
    <t xml:space="preserve">Formula calculated within the sheet.</t>
  </si>
  <si>
    <t xml:space="preserve">Green text</t>
  </si>
  <si>
    <t xml:space="preserve">Link to another sheet in this workbook.</t>
  </si>
  <si>
    <t xml:space="preserve">Yellow fill</t>
  </si>
  <si>
    <t xml:space="preserve">Key assumption. These are the cells that drive the case — review before every run.</t>
  </si>
  <si>
    <t xml:space="preserve">TAB GUIDE</t>
  </si>
  <si>
    <t xml:space="preserve">Snapshot</t>
  </si>
  <si>
    <t xml:space="preserve">Market data, capitalisation, enterprise value, ownership. The two blue cells at top are the only market inputs to refresh.</t>
  </si>
  <si>
    <t xml:space="preserve">Financials_Hist</t>
  </si>
  <si>
    <t xml:space="preserve">Quarterly and annual income, cash flow and balance sheet items, FY2024 through Q2 2026.</t>
  </si>
  <si>
    <t xml:space="preserve">Production_Ops</t>
  </si>
  <si>
    <t xml:space="preserve">Sales volumes by asset and product type; realised prices; netback build; unit operating costs.</t>
  </si>
  <si>
    <t xml:space="preserve">Reserves</t>
  </si>
  <si>
    <t xml:space="preserve">McDaniel report effective 31-Dec-2025: PDP / TP / P+P volumes, before-tax NPV, reserve life, F&amp;D and recycle ratios.</t>
  </si>
  <si>
    <t xml:space="preserve">Guidance</t>
  </si>
  <si>
    <t xml:space="preserve">Company guidance for 2026 and 2027, including the capital programme by asset and the 2027 exit-rate target.</t>
  </si>
  <si>
    <t xml:space="preserve">Assets</t>
  </si>
  <si>
    <t xml:space="preserve">Asset-by-asset descriptors: land, processing capacity, egress, well results, plateau targets. Inputs to the type-curve work.</t>
  </si>
  <si>
    <t xml:space="preserve">Hedges_Credit</t>
  </si>
  <si>
    <t xml:space="preserve">Hedge book and credit facilities as disclosed at Q2 2026.</t>
  </si>
  <si>
    <t xml:space="preserve">PriceDeck</t>
  </si>
  <si>
    <t xml:space="preserve">Bear / Base / Bull commodity assumptions. THE central scenario lever — the Monte Carlo module samples around these.</t>
  </si>
  <si>
    <t xml:space="preserve">Derived_Metrics</t>
  </si>
  <si>
    <t xml:space="preserve">Live trading multiples calculated off Snapshot, Reserves and Production_Ops.</t>
  </si>
  <si>
    <t xml:space="preserve">PRIMARY SOURCES</t>
  </si>
  <si>
    <t xml:space="preserve">Q2 2026 results (6-Aug-2026)</t>
  </si>
  <si>
    <t xml:space="preserve">paramount.mediaroom.com — Q2 2026 press release. Volumes, netbacks, capex by asset, hedges, guidance.</t>
  </si>
  <si>
    <t xml:space="preserve">FY2025 results (3-Mar-2026)</t>
  </si>
  <si>
    <t xml:space="preserve">paramount.mediaroom.com — Q4/annual 2025 press release. Reserves tables, FY financials, 2026-27 capital outlook.</t>
  </si>
  <si>
    <t xml:space="preserve">2025 Annual Information Form</t>
  </si>
  <si>
    <t xml:space="preserve">paramountres.com — full McDaniel reserves disclosure, land, risk factors.</t>
  </si>
  <si>
    <t xml:space="preserve">SEDAR+</t>
  </si>
  <si>
    <t xml:space="preserve">sedarplus.ca — financial statements and MD&amp;A.</t>
  </si>
  <si>
    <t xml:space="preserve">Market data</t>
  </si>
  <si>
    <t xml:space="preserve">TSX close and consensus targets. Refresh the two blue cells on Snapshot before each run.</t>
  </si>
  <si>
    <t xml:space="preserve">Hypothetical case study for analytical purposes. Not investment advice, and not a recommendation to buy or sell any security.</t>
  </si>
  <si>
    <t xml:space="preserve">Company Snapshot &amp; Capitalisation</t>
  </si>
  <si>
    <t xml:space="preserve">Balance sheet items as at 30-Jun-2026 (Q2 2026 press release). Market data as at the date shown — refresh the blue cells.</t>
  </si>
  <si>
    <t xml:space="preserve">MARKET INPUTS — refresh these two cells</t>
  </si>
  <si>
    <t xml:space="preserve">Market data as at</t>
  </si>
  <si>
    <t xml:space="preserve">21-Aug-2026</t>
  </si>
  <si>
    <t xml:space="preserve">Update whenever you re-run the case.</t>
  </si>
  <si>
    <t xml:space="preserve">Share price (C$/share)</t>
  </si>
  <si>
    <t xml:space="preserve">TSX close. Implied by consensus target of ~C$37.10 quoted at +13.7%.</t>
  </si>
  <si>
    <t xml:space="preserve">Consensus analyst target (C$/share)</t>
  </si>
  <si>
    <t xml:space="preserve">10 analysts. Recent targets: RBC C$37, Scotiabank C$36, CIBC C$34.</t>
  </si>
  <si>
    <t xml:space="preserve">SHARE COUNT &amp; MARKET CAPITALISATION</t>
  </si>
  <si>
    <t xml:space="preserve">Common shares outstanding (mm)</t>
  </si>
  <si>
    <t xml:space="preserve">Q2 2026, net of 0.1mm shares held in trust under the RSU plan.</t>
  </si>
  <si>
    <t xml:space="preserve">Market capitalisation (C$mm)</t>
  </si>
  <si>
    <t xml:space="preserve">NET DEBT / (NET CASH) BRIDGE — as at 30-Jun-2026</t>
  </si>
  <si>
    <t xml:space="preserve">Cash and cash equivalents (C$mm)</t>
  </si>
  <si>
    <t xml:space="preserve">Q2 2026 press release.</t>
  </si>
  <si>
    <t xml:space="preserve">Long-term debt (C$mm)</t>
  </si>
  <si>
    <t xml:space="preserve">No long-term debt outstanding.</t>
  </si>
  <si>
    <t xml:space="preserve">Net (cash) debt as reported (C$mm)</t>
  </si>
  <si>
    <t xml:space="preserve">As reported; includes working capital items, so differs from cash less debt.</t>
  </si>
  <si>
    <t xml:space="preserve">Investments in securities (C$mm)</t>
  </si>
  <si>
    <t xml:space="preserve">At 30-Jun-26. AKITA shares received on the Fox Drilling sale were distributed to shareholders 16-Jul-26 — confirm the residual before relying on this.</t>
  </si>
  <si>
    <t xml:space="preserve">Undrawn credit facilities (C$mm)</t>
  </si>
  <si>
    <t xml:space="preserve">C$500mm revolver (matures 15-Dec-2029) plus C$250mm EDC delayed-draw term loan.</t>
  </si>
  <si>
    <t xml:space="preserve">ENTERPRISE VALUE</t>
  </si>
  <si>
    <t xml:space="preserve">Market capitalisation</t>
  </si>
  <si>
    <t xml:space="preserve">Plus: net debt / (less: net cash)</t>
  </si>
  <si>
    <t xml:space="preserve">Enterprise value — before securities (C$mm)</t>
  </si>
  <si>
    <t xml:space="preserve">Less: investments in securities</t>
  </si>
  <si>
    <t xml:space="preserve">Enterprise value — fully adjusted (C$mm)</t>
  </si>
  <si>
    <t xml:space="preserve">Used as the EV basis in Derived_Metrics.</t>
  </si>
  <si>
    <t xml:space="preserve">OWNERSHIP — the binding constraint on any take-private</t>
  </si>
  <si>
    <t xml:space="preserve">Holder</t>
  </si>
  <si>
    <t xml:space="preserve">% held</t>
  </si>
  <si>
    <t xml:space="preserve">Note</t>
  </si>
  <si>
    <t xml:space="preserve">James H.T. Riddell (Chairman, President &amp; CEO)</t>
  </si>
  <si>
    <t xml:space="preserve">~47.1mm shares.</t>
  </si>
  <si>
    <t xml:space="preserve">Susan Riddell Rose (Director)</t>
  </si>
  <si>
    <t xml:space="preserve">~15.0mm shares.</t>
  </si>
  <si>
    <t xml:space="preserve">Brenda Riddell (Director)</t>
  </si>
  <si>
    <t xml:space="preserve">~14.9mm shares.</t>
  </si>
  <si>
    <t xml:space="preserve">Riddell family — combined</t>
  </si>
  <si>
    <t xml:space="preserve">A controlling block. No take-private can proceed without it.</t>
  </si>
  <si>
    <t xml:space="preserve">Institutions</t>
  </si>
  <si>
    <t xml:space="preserve">Unusually low for a C$4bn+ issuer.</t>
  </si>
  <si>
    <t xml:space="preserve">Public companies and individual investors</t>
  </si>
  <si>
    <t xml:space="preserve">IMPLICATION</t>
  </si>
  <si>
    <t xml:space="preserve">A hostile take-private is not available. Any transaction is negotiated with the founding family, and under Canadian MI 61-101 a related-party rollover triggers a formal valuation and majority-of-the-minority approval. Test this before modelling anything else.</t>
  </si>
  <si>
    <t xml:space="preserve">Historical Financial Results</t>
  </si>
  <si>
    <t xml:space="preserve">C$mm unless noted. Source: Q2 2026 and FY2025 press releases. Note the Grande Prairie disposition closed 31-Jan-2025 — 2024 is not comparable.</t>
  </si>
  <si>
    <t xml:space="preserve">C$ millions</t>
  </si>
  <si>
    <t xml:space="preserve">FY2024</t>
  </si>
  <si>
    <t xml:space="preserve">FY2025</t>
  </si>
  <si>
    <t xml:space="preserve">Q2 2025</t>
  </si>
  <si>
    <t xml:space="preserve">Q4 2025</t>
  </si>
  <si>
    <t xml:space="preserve">Q1 2026</t>
  </si>
  <si>
    <t xml:space="preserve">Q2 2026</t>
  </si>
  <si>
    <t xml:space="preserve">EARNINGS &amp; CASH FLOW</t>
  </si>
  <si>
    <t xml:space="preserve">Net income / (loss)</t>
  </si>
  <si>
    <t xml:space="preserve">FY2025 inflated by the C$3.24bn Grande Prairie disposition gain.</t>
  </si>
  <si>
    <t xml:space="preserve">Cash from operating activities</t>
  </si>
  <si>
    <t xml:space="preserve">Adjusted funds flow (AFF)</t>
  </si>
  <si>
    <t xml:space="preserve">Company capital management measure. Closest public proxy for cash EBITDA.</t>
  </si>
  <si>
    <t xml:space="preserve">Free cash flow</t>
  </si>
  <si>
    <t xml:space="preserve">Negative for six straight quarters — the company is funding a build-out.</t>
  </si>
  <si>
    <t xml:space="preserve">CAPITAL EXPENDITURE BY ASSET</t>
  </si>
  <si>
    <t xml:space="preserve">Willesden Green</t>
  </si>
  <si>
    <t xml:space="preserve">Sinclair</t>
  </si>
  <si>
    <t xml:space="preserve">Ramping hard ahead of Q4 2027 plant start-up.</t>
  </si>
  <si>
    <t xml:space="preserve">Kaybob</t>
  </si>
  <si>
    <t xml:space="preserve">Now in maintenance mode.</t>
  </si>
  <si>
    <t xml:space="preserve">Fox Drilling</t>
  </si>
  <si>
    <t xml:space="preserve">Subsidiary sold to AKITA 30-Jun-2026.</t>
  </si>
  <si>
    <t xml:space="preserve">Corporate, other and sold assets</t>
  </si>
  <si>
    <t xml:space="preserve">FY2024 includes C$414.6mm on assets since sold.</t>
  </si>
  <si>
    <t xml:space="preserve">Total capital expenditures</t>
  </si>
  <si>
    <t xml:space="preserve">Ties to reported totals: FY24 842.2, FY25 788.5, Q2'26 296.7.</t>
  </si>
  <si>
    <t xml:space="preserve">Asset retirement obligations settled</t>
  </si>
  <si>
    <t xml:space="preserve">BALANCE SHEET</t>
  </si>
  <si>
    <t xml:space="preserve">Total assets</t>
  </si>
  <si>
    <t xml:space="preserve">n/a</t>
  </si>
  <si>
    <t xml:space="preserve">Investments in securities</t>
  </si>
  <si>
    <t xml:space="preserve">Long-term debt</t>
  </si>
  <si>
    <t xml:space="preserve">Debt-free since the Grande Prairie disposition.</t>
  </si>
  <si>
    <t xml:space="preserve">Net (cash) debt</t>
  </si>
  <si>
    <t xml:space="preserve">Net cash is being consumed by the capital programme.</t>
  </si>
  <si>
    <t xml:space="preserve">DERIVED</t>
  </si>
  <si>
    <t xml:space="preserve">AFF / cash from operating activities</t>
  </si>
  <si>
    <t xml:space="preserve">Capital intensity (capex / AFF)</t>
  </si>
  <si>
    <t xml:space="preserve">Above 1.0x means outspend. This is the single most important fact about POU today.</t>
  </si>
  <si>
    <t xml:space="preserve">Production, Realised Pricing &amp; Netbacks</t>
  </si>
  <si>
    <t xml:space="preserve">Sales volumes and unit economics. Source: Q2 2026 and FY2025 press releases.</t>
  </si>
  <si>
    <t xml:space="preserve">SALES VOLUMES BY PRODUCT</t>
  </si>
  <si>
    <t xml:space="preserve">Natural gas (MMcf/d)</t>
  </si>
  <si>
    <t xml:space="preserve">Condensate and oil (Bbl/d)</t>
  </si>
  <si>
    <t xml:space="preserve">Other NGLs (Bbl/d)</t>
  </si>
  <si>
    <t xml:space="preserve">Ethane, propane, butane.</t>
  </si>
  <si>
    <t xml:space="preserve">Total (Boe/d)</t>
  </si>
  <si>
    <t xml:space="preserve">6 Mcf : 1 Bbl. Company notes the 2026 value ratio is closer to 60:1.</t>
  </si>
  <si>
    <t xml:space="preserve">% liquids</t>
  </si>
  <si>
    <t xml:space="preserve">SALES VOLUMES BY ASSET (Boe/d)</t>
  </si>
  <si>
    <t xml:space="preserve">From ~7 kboe/d in Jan-25 to &gt;29 kboe/d in Dec-25. The growth engine.</t>
  </si>
  <si>
    <t xml:space="preserve">Maintenance: company guides 19-20 kboe/d through 2028.</t>
  </si>
  <si>
    <t xml:space="preserve">Other properties</t>
  </si>
  <si>
    <t xml:space="preserve">Sold assets (Karr, Wapiti, Zama)</t>
  </si>
  <si>
    <t xml:space="preserve">Disposed 31-Jan-2025 for C$3.243bn.</t>
  </si>
  <si>
    <t xml:space="preserve">Cross-check: must equal the by-product total above.</t>
  </si>
  <si>
    <t xml:space="preserve">REALISED PRICING</t>
  </si>
  <si>
    <t xml:space="preserve">Natural gas (C$/Mcf)</t>
  </si>
  <si>
    <t xml:space="preserve">~48% of remaining-2026 gas priced ex-AECO at Dawn, Malin, Emerson.</t>
  </si>
  <si>
    <t xml:space="preserve">Condensate and oil (C$/Bbl)</t>
  </si>
  <si>
    <t xml:space="preserve">Condensate is the value driver, not gas.</t>
  </si>
  <si>
    <t xml:space="preserve">Other NGLs (C$/Bbl)</t>
  </si>
  <si>
    <t xml:space="preserve">NETBACK BUILD (C$/Boe)</t>
  </si>
  <si>
    <t xml:space="preserve">Petroleum and natural gas sales</t>
  </si>
  <si>
    <t xml:space="preserve">Royalties</t>
  </si>
  <si>
    <t xml:space="preserve">Low: new-well royalty rates on Duvernay volumes.</t>
  </si>
  <si>
    <t xml:space="preserve">Operating expense</t>
  </si>
  <si>
    <t xml:space="preserve">Five consecutive quarters of decline as owned facilities absorb volume.</t>
  </si>
  <si>
    <t xml:space="preserve">Transportation and NGLs processing</t>
  </si>
  <si>
    <t xml:space="preserve">Net commodities purchased / (sold)</t>
  </si>
  <si>
    <t xml:space="preserve">Corporate marketing item, roughly nets to zero.</t>
  </si>
  <si>
    <t xml:space="preserve">Netback</t>
  </si>
  <si>
    <t xml:space="preserve">Ties to reported: FY24 25.89, FY25 28.66, Q2'26 44.17.</t>
  </si>
  <si>
    <t xml:space="preserve">Risk management settlements</t>
  </si>
  <si>
    <t xml:space="preserve">Netback incl. risk management</t>
  </si>
  <si>
    <t xml:space="preserve">ASSET-LEVEL UNIT COSTS</t>
  </si>
  <si>
    <t xml:space="preserve">Willesden Green operating expense (C$/Boe)</t>
  </si>
  <si>
    <t xml:space="preserve">The structural cost advantage. Company-owned Alhambra plant.</t>
  </si>
  <si>
    <t xml:space="preserve">DERIVED — ANNUALISED CASH NETBACK</t>
  </si>
  <si>
    <t xml:space="preserve">Netback annualised (C$mm)</t>
  </si>
  <si>
    <t xml:space="preserve">Field-level cash generation at the period's volumes and netback. Before G&amp;A, interest and tax.</t>
  </si>
  <si>
    <t xml:space="preserve">Reserves — McDaniel Report, effective 31-Dec-2025</t>
  </si>
  <si>
    <t xml:space="preserve">Gross reserves. NPV is before tax and does not represent fair market value. Price forecast is the average of Sproule, GLJ and McDaniel decks.</t>
  </si>
  <si>
    <t xml:space="preserve">RESERVE VOLUMES</t>
  </si>
  <si>
    <t xml:space="preserve">PDP</t>
  </si>
  <si>
    <t xml:space="preserve">Total Proved (1P)</t>
  </si>
  <si>
    <t xml:space="preserve">Proved + Probable (2P)</t>
  </si>
  <si>
    <t xml:space="preserve">Natural gas (Bcf)</t>
  </si>
  <si>
    <t xml:space="preserve">NGLs (MBbl)</t>
  </si>
  <si>
    <t xml:space="preserve">Crude oil (MBbl)</t>
  </si>
  <si>
    <t xml:space="preserve">Total (MBoe)</t>
  </si>
  <si>
    <t xml:space="preserve">Reported: 59,151 / 199,989 / 521,518 MBoe.</t>
  </si>
  <si>
    <t xml:space="preserve">2P is gassier than 1P — Sinclair dry gas dominates the probable book.</t>
  </si>
  <si>
    <t xml:space="preserve">BEFORE-TAX NET PRESENT VALUE OF FUTURE NET REVENUE (C$mm)</t>
  </si>
  <si>
    <t xml:space="preserve">Volumes (MBoe)</t>
  </si>
  <si>
    <t xml:space="preserve">Undiscounted</t>
  </si>
  <si>
    <t xml:space="preserve">Discounted at 10%</t>
  </si>
  <si>
    <t xml:space="preserve">   Developed</t>
  </si>
  <si>
    <t xml:space="preserve">   Undeveloped</t>
  </si>
  <si>
    <t xml:space="preserve">   Total Proved</t>
  </si>
  <si>
    <t xml:space="preserve">Proved plus Probable (2P)</t>
  </si>
  <si>
    <t xml:space="preserve">   Total Proved plus Probable</t>
  </si>
  <si>
    <t xml:space="preserve">2P NPV10 of C$3,250mm is the anchor for the P/NAV test in Derived_Metrics.</t>
  </si>
  <si>
    <t xml:space="preserve">NPV10 PER SHARE — the central valuation tension</t>
  </si>
  <si>
    <t xml:space="preserve">2P NPV10, before tax (C$mm)</t>
  </si>
  <si>
    <t xml:space="preserve">Plus: net cash at 30-Jun-2026 (C$mm)</t>
  </si>
  <si>
    <t xml:space="preserve">Adjusted 2P NAV (C$mm)</t>
  </si>
  <si>
    <t xml:space="preserve">Shares outstanding (mm)</t>
  </si>
  <si>
    <t xml:space="preserve">2P NAV per share (C$)</t>
  </si>
  <si>
    <t xml:space="preserve">Excludes undeveloped land, infrastructure above reserve value and any resource beyond 2P.</t>
  </si>
  <si>
    <t xml:space="preserve">Current share price (C$)</t>
  </si>
  <si>
    <t xml:space="preserve">Price / 2P NAV</t>
  </si>
  <si>
    <t xml:space="preserve">Above 1.0x means the market already pays for value the engineered reserve report does not book.</t>
  </si>
  <si>
    <t xml:space="preserve">RESERVE LIFE, F&amp;D AND RECYCLE RATIOS (2025)</t>
  </si>
  <si>
    <t xml:space="preserve">Total Proved</t>
  </si>
  <si>
    <t xml:space="preserve">Proved + Probable</t>
  </si>
  <si>
    <t xml:space="preserve">Reserve life index (years)</t>
  </si>
  <si>
    <t xml:space="preserve">PDP RLI of 4.5 years is short — this is a company that must keep drilling.</t>
  </si>
  <si>
    <t xml:space="preserve">F&amp;D cost (C$/Boe)</t>
  </si>
  <si>
    <t xml:space="preserve">Includes future development capital for Alhambra and Sinclair.</t>
  </si>
  <si>
    <t xml:space="preserve">Recycle ratio (x)</t>
  </si>
  <si>
    <t xml:space="preserve">1.2x on a proved basis is thin. The 2.5x on 2P assumes Sinclair is delivered.</t>
  </si>
  <si>
    <t xml:space="preserve">2025 reserve replacement (x)</t>
  </si>
  <si>
    <t xml:space="preserve">Company Guidance &amp; Capital Plan</t>
  </si>
  <si>
    <t xml:space="preserve">Source: Q2 2026 press release (6-Aug-2026), updated from the March 2026 outlook.</t>
  </si>
  <si>
    <t xml:space="preserve">2026 GUIDANCE (revised upward at Q2)</t>
  </si>
  <si>
    <t xml:space="preserve">Low</t>
  </si>
  <si>
    <t xml:space="preserve">High</t>
  </si>
  <si>
    <t xml:space="preserve">Midpoint</t>
  </si>
  <si>
    <t xml:space="preserve">Q3 2026 sales volumes (Boe/d)</t>
  </si>
  <si>
    <t xml:space="preserve">47% liquids.</t>
  </si>
  <si>
    <t xml:space="preserve">Q4 2026 sales volumes (Boe/d)</t>
  </si>
  <si>
    <t xml:space="preserve">49% liquids. Alhambra phase 2 at full rate.</t>
  </si>
  <si>
    <t xml:space="preserve">2026 annual sales volumes (Boe/d)</t>
  </si>
  <si>
    <t xml:space="preserve">49% liquids. Raised 2,000 Boe/d at midpoint at Q2.</t>
  </si>
  <si>
    <t xml:space="preserve">2026 capital expenditures (C$mm)</t>
  </si>
  <si>
    <t xml:space="preserve">Unchanged.</t>
  </si>
  <si>
    <t xml:space="preserve">2026 abandonment &amp; reclamation (C$mm)</t>
  </si>
  <si>
    <t xml:space="preserve">2027 OUTLOOK</t>
  </si>
  <si>
    <t xml:space="preserve">2027 annual sales volumes (Boe/d)</t>
  </si>
  <si>
    <t xml:space="preserve">50% liquids.</t>
  </si>
  <si>
    <t xml:space="preserve">2027 exit rate (Boe/d)</t>
  </si>
  <si>
    <t xml:space="preserve">Stated as 'over 100,000', 35% liquids. Roughly double the 2026 average.</t>
  </si>
  <si>
    <t xml:space="preserve">2027 capital expenditures (C$mm)</t>
  </si>
  <si>
    <t xml:space="preserve">Midpoint outlook.</t>
  </si>
  <si>
    <t xml:space="preserve">CAPITAL ALLOCATION BY ASSET (C$mm, March 2026 outlook)</t>
  </si>
  <si>
    <t xml:space="preserve">2026</t>
  </si>
  <si>
    <t xml:space="preserve">2027</t>
  </si>
  <si>
    <t xml:space="preserve">Drilling to fill Alhambra phase 2, plus the Leafland interconnect.</t>
  </si>
  <si>
    <t xml:space="preserve">Plant construction and 15 wells in 2026, completions and tie-ins in 2027.</t>
  </si>
  <si>
    <t xml:space="preserve">Kaybob and corporate</t>
  </si>
  <si>
    <t xml:space="preserve">Balancing figure to the stated midpoint.</t>
  </si>
  <si>
    <t xml:space="preserve">Total</t>
  </si>
  <si>
    <t xml:space="preserve">THE FUNDING GAP — why this is not a conventional LBO candidate</t>
  </si>
  <si>
    <t xml:space="preserve">2026E</t>
  </si>
  <si>
    <t xml:space="preserve">2027E</t>
  </si>
  <si>
    <t xml:space="preserve">Adjusted funds flow — analyst placeholder (C$mm)</t>
  </si>
  <si>
    <t xml:space="preserve">PLACEHOLDER. Replace with output of the operating model in Module 2. 2026E is roughly H1 annualised.</t>
  </si>
  <si>
    <t xml:space="preserve">Less: capital expenditures</t>
  </si>
  <si>
    <t xml:space="preserve">Less: abandonment &amp; reclamation</t>
  </si>
  <si>
    <t xml:space="preserve">Free cash flow before dividends (C$mm)</t>
  </si>
  <si>
    <t xml:space="preserve">Less: dividends at C$0.60/share annualised</t>
  </si>
  <si>
    <t xml:space="preserve">Cumulative funding requirement (C$mm)</t>
  </si>
  <si>
    <t xml:space="preserve">Compare against C$449mm cash plus C$750mm undrawn facilities. A sponsor's leverage competes with this programme for the same balance sheet.</t>
  </si>
  <si>
    <t xml:space="preserve">Asset Descriptors</t>
  </si>
  <si>
    <t xml:space="preserve">Inputs to asset-level type curves and the NAV build. Source: Q2 2026 and FY2025 press releases.</t>
  </si>
  <si>
    <t xml:space="preserve">Willesden Green Duvernay</t>
  </si>
  <si>
    <t xml:space="preserve">Sinclair Montney</t>
  </si>
  <si>
    <t xml:space="preserve">Other / legacy</t>
  </si>
  <si>
    <t xml:space="preserve">Status</t>
  </si>
  <si>
    <t xml:space="preserve">Producing, ramping</t>
  </si>
  <si>
    <t xml:space="preserve">Under construction, first gas Q4 2027</t>
  </si>
  <si>
    <t xml:space="preserve">Producing, maintenance mode</t>
  </si>
  <si>
    <t xml:space="preserve">Undeveloped land bank</t>
  </si>
  <si>
    <t xml:space="preserve">Q2 2026 volumes (Boe/d)</t>
  </si>
  <si>
    <t xml:space="preserve">27,466 (55% liquids)</t>
  </si>
  <si>
    <t xml:space="preserve">Nil</t>
  </si>
  <si>
    <t xml:space="preserve">19,413 (40% liquids)</t>
  </si>
  <si>
    <t xml:space="preserve">400</t>
  </si>
  <si>
    <t xml:space="preserve">Net acres</t>
  </si>
  <si>
    <t xml:space="preserve">Over 350,000</t>
  </si>
  <si>
    <t xml:space="preserve">Over 170,000</t>
  </si>
  <si>
    <t xml:space="preserve">110,000 Duvernay + 180,000 Montney</t>
  </si>
  <si>
    <t xml:space="preserve">1.3mm heavy oil; 110k Muskwa; 195k Besa River; 170k NWT</t>
  </si>
  <si>
    <t xml:space="preserve">Processing capacity</t>
  </si>
  <si>
    <t xml:space="preserve">Alhambra 20,000 Bbl/d + 100 MMcf/d raw after phase 2; Leafland 6,000 Bbl/d + 22 MMcf/d</t>
  </si>
  <si>
    <t xml:space="preserve">Sinclair Plant designed for 400 MMcf/d raw</t>
  </si>
  <si>
    <t xml:space="preserve">Company-owned gathering and processing</t>
  </si>
  <si>
    <t xml:space="preserve">None</t>
  </si>
  <si>
    <t xml:space="preserve">Expansion optionality</t>
  </si>
  <si>
    <t xml:space="preserve">Phase 3 adds 50 MMcf/d + 10,000 Bbl/d; FID possible Q4 2026, start-up as early as H2 2028</t>
  </si>
  <si>
    <t xml:space="preserve">Land position supports a higher plateau than currently targeted</t>
  </si>
  <si>
    <t xml:space="preserve">None planned</t>
  </si>
  <si>
    <t xml:space="preserve">Requires capital and a commodity view</t>
  </si>
  <si>
    <t xml:space="preserve">Contracted egress</t>
  </si>
  <si>
    <t xml:space="preserve">In place</t>
  </si>
  <si>
    <t xml:space="preserve">335 MMcf/d firm from Q4 2027</t>
  </si>
  <si>
    <t xml:space="preserve">Well results</t>
  </si>
  <si>
    <t xml:space="preserve">210-day peak ~1,240 Boe/d (56% liquids) across 16 wells; 13 of 16 paid out in ~8 months</t>
  </si>
  <si>
    <t xml:space="preserve">Test rates 34 MMcf/d upper bench, 25 MMcf/d lower bench — highest publicly recorded in Alberta Montney</t>
  </si>
  <si>
    <t xml:space="preserve">Duvernay wells offsetting decline</t>
  </si>
  <si>
    <t xml:space="preserve">Plateau target</t>
  </si>
  <si>
    <t xml:space="preserve">~50,000 Boe/d sustainable over 20+ years</t>
  </si>
  <si>
    <t xml:space="preserve">Over 300 MMcf/d of sales gas</t>
  </si>
  <si>
    <t xml:space="preserve">19,000-20,000 Boe/d through 2028</t>
  </si>
  <si>
    <t xml:space="preserve">Unit operating cost</t>
  </si>
  <si>
    <t xml:space="preserve">C$4.71/Boe in Q4 2025</t>
  </si>
  <si>
    <t xml:space="preserve">Designed as high-rate, low-cost dry gas</t>
  </si>
  <si>
    <t xml:space="preserve">Higher — legacy conventional mix</t>
  </si>
  <si>
    <t xml:space="preserve">Key risk for the model</t>
  </si>
  <si>
    <t xml:space="preserve">Type-curve durability past 300 days; wells are choked, so declines are managed not natural</t>
  </si>
  <si>
    <t xml:space="preserve">Single-asset execution risk: plant on time and on budget, and gas price at start-up</t>
  </si>
  <si>
    <t xml:space="preserve">Decline once Duvernay drilling stops</t>
  </si>
  <si>
    <t xml:space="preserve">Zero value in most NAV cases; option value only</t>
  </si>
  <si>
    <t xml:space="preserve">TOTAL LAND POSITION AT 31-DEC-2025 (thousand acres)</t>
  </si>
  <si>
    <t xml:space="preserve">Gross</t>
  </si>
  <si>
    <t xml:space="preserve">Net</t>
  </si>
  <si>
    <t xml:space="preserve">Acreage assigned reserves</t>
  </si>
  <si>
    <t xml:space="preserve">Acreage not assigned reserves</t>
  </si>
  <si>
    <t xml:space="preserve">Hedge Book &amp; Credit Facilities</t>
  </si>
  <si>
    <t xml:space="preserve">As disclosed in the Q2 2026 press release (6-Aug-2026).</t>
  </si>
  <si>
    <t xml:space="preserve">COMMODITY AND FX CONTRACTS</t>
  </si>
  <si>
    <t xml:space="preserve">Instrument</t>
  </si>
  <si>
    <t xml:space="preserve">Notional</t>
  </si>
  <si>
    <t xml:space="preserve">Price / rate</t>
  </si>
  <si>
    <t xml:space="preserve">Remaining term</t>
  </si>
  <si>
    <t xml:space="preserve">NYMEX WTI swap (sale)</t>
  </si>
  <si>
    <t xml:space="preserve">7,000 Bbl/d</t>
  </si>
  <si>
    <t xml:space="preserve">C$109.19/Bbl</t>
  </si>
  <si>
    <t xml:space="preserve">Jul 2026 - Dec 2026</t>
  </si>
  <si>
    <t xml:space="preserve">Roughly 39% of Q2 liquids volumes.</t>
  </si>
  <si>
    <t xml:space="preserve">6,000 Bbl/d</t>
  </si>
  <si>
    <t xml:space="preserve">C$100.34/Bbl</t>
  </si>
  <si>
    <t xml:space="preserve">Jan 2027 - Dec 2027</t>
  </si>
  <si>
    <t xml:space="preserve">Coverage falls as volumes double — 2027 is largely unhedged.</t>
  </si>
  <si>
    <t xml:space="preserve">Citygate / Malin basis swap</t>
  </si>
  <si>
    <t xml:space="preserve">10,000 MMBtu/d</t>
  </si>
  <si>
    <t xml:space="preserve">Citygate less US$0.97/MMBtu</t>
  </si>
  <si>
    <t xml:space="preserve">Jul 2026 - Oct 2028</t>
  </si>
  <si>
    <t xml:space="preserve">Basis only, no flat-price protection.</t>
  </si>
  <si>
    <t xml:space="preserve">FX average rate forward (sale)</t>
  </si>
  <si>
    <t xml:space="preserve">US$10mm / month</t>
  </si>
  <si>
    <t xml:space="preserve">1.3810 CAD/USD</t>
  </si>
  <si>
    <t xml:space="preserve">1.3680 CAD/USD</t>
  </si>
  <si>
    <t xml:space="preserve">Observation</t>
  </si>
  <si>
    <t xml:space="preserve">There is no flat-price natural gas hedge. Sinclair is a dry gas project reaching first production in Q4 2027 into an unhedged market. A sponsor with leverage would need a materially larger hedge book, which costs upside — model this explicitly in the LBO.</t>
  </si>
  <si>
    <t xml:space="preserve">CREDIT FACILITIES</t>
  </si>
  <si>
    <t xml:space="preserve">Senior secured revolving bank credit facility (C$mm)</t>
  </si>
  <si>
    <t xml:space="preserve">Covenant-based. Maturity extended to 15-Dec-2029.</t>
  </si>
  <si>
    <t xml:space="preserve">EDC non-revolving delayed-draw term loan (C$mm)</t>
  </si>
  <si>
    <t xml:space="preserve">Five-year, non-amortising. Secured December 2025.</t>
  </si>
  <si>
    <t xml:space="preserve">Total facilities (C$mm)</t>
  </si>
  <si>
    <t xml:space="preserve">Fully undrawn at 30-Jun-2026.</t>
  </si>
  <si>
    <t xml:space="preserve">Links to Snapshot.</t>
  </si>
  <si>
    <t xml:space="preserve">Total liquidity (C$mm)</t>
  </si>
  <si>
    <t xml:space="preserve">Commodity Price Deck — Bear / Base / Bull</t>
  </si>
  <si>
    <t xml:space="preserve">THE central scenario lever. Every yellow cell is an assumption you own and must defend. The Monte Carlo module samples around the Base column.</t>
  </si>
  <si>
    <t xml:space="preserve">Active scenario (1 = Bear, 2 = Base, 3 = Bull)</t>
  </si>
  <si>
    <t xml:space="preserve">Downstream models read the 'Active' block at the bottom of this sheet.</t>
  </si>
  <si>
    <t xml:space="preserve">BEAR CASE</t>
  </si>
  <si>
    <t xml:space="preserve">2028E</t>
  </si>
  <si>
    <t xml:space="preserve">2029E</t>
  </si>
  <si>
    <t xml:space="preserve">2030E</t>
  </si>
  <si>
    <t xml:space="preserve">WTI (US$/Bbl)</t>
  </si>
  <si>
    <t xml:space="preserve">AECO (C$/GJ)</t>
  </si>
  <si>
    <t xml:space="preserve">Dawn / diversified premium (C$/GJ)</t>
  </si>
  <si>
    <t xml:space="preserve">CAD/USD exchange rate</t>
  </si>
  <si>
    <t xml:space="preserve">Condensate differential to WTI (C$/Bbl)</t>
  </si>
  <si>
    <t xml:space="preserve">BASE CASE</t>
  </si>
  <si>
    <t xml:space="preserve">BULL CASE</t>
  </si>
  <si>
    <t xml:space="preserve">Sinclair start-up delay (years) — Bull / Base / Bear</t>
  </si>
  <si>
    <t xml:space="preserve">Non-price lever. Slippage at Sinclair moves the case more than a dollar of WTI.</t>
  </si>
  <si>
    <t xml:space="preserve">ACTIVE DECK — read by all downstream models</t>
  </si>
  <si>
    <t xml:space="preserve">Realised gas price check (C$/Mcf)</t>
  </si>
  <si>
    <t xml:space="preserve">Approximate GJ to Mcf conversion of 1.055. Sanity check: FY2025 realised was C$3.02/Mcf.</t>
  </si>
  <si>
    <t xml:space="preserve">Condensate price (C$/Bbl)</t>
  </si>
  <si>
    <t xml:space="preserve">Sanity check: Q2 2026 realised condensate and oil was C$126.96/Bbl — a wide premium worth investigating.</t>
  </si>
  <si>
    <t xml:space="preserve">HEALTH WARNING</t>
  </si>
  <si>
    <t xml:space="preserve">These decks are illustrative starting points, not forecasts. Before the investment committee module, replace them with the forward strip on your valuation date and cite it. A case study is judged on whether its assumptions are defensible, not on whether the IRR is high.</t>
  </si>
  <si>
    <t xml:space="preserve">Trading Multiples — Where POU Trades Today</t>
  </si>
  <si>
    <t xml:space="preserve">Live off Snapshot, Reserves and Production_Ops. This is the 'entry price' evidence for the investment committee.</t>
  </si>
  <si>
    <t xml:space="preserve">INPUTS</t>
  </si>
  <si>
    <t xml:space="preserve">Share price (C$)</t>
  </si>
  <si>
    <t xml:space="preserve">Enterprise value, fully adjusted (C$mm)</t>
  </si>
  <si>
    <t xml:space="preserve">Market cap less net cash and securities.</t>
  </si>
  <si>
    <t xml:space="preserve">Q2 2026 production (Boe/d)</t>
  </si>
  <si>
    <t xml:space="preserve">Q4 2026E production, midpoint (Boe/d)</t>
  </si>
  <si>
    <t xml:space="preserve">Guided exit-quarter rate.</t>
  </si>
  <si>
    <t xml:space="preserve">Q2 2026 AFF annualised (C$mm)</t>
  </si>
  <si>
    <t xml:space="preserve">Crude annualisation. Replace with the operating model output in Module 2.</t>
  </si>
  <si>
    <t xml:space="preserve">H1 2026 AFF annualised (C$mm)</t>
  </si>
  <si>
    <t xml:space="preserve">2P reserves (MBoe)</t>
  </si>
  <si>
    <t xml:space="preserve">2P NPV10 before tax (C$mm)</t>
  </si>
  <si>
    <t xml:space="preserve">MULTIPLES</t>
  </si>
  <si>
    <t xml:space="preserve">EV / AFF — annualised Q2 2026</t>
  </si>
  <si>
    <t xml:space="preserve">Canadian intermediate producers have generally traded in a 3-5x band on cash flow. Verify against a live comp set.</t>
  </si>
  <si>
    <t xml:space="preserve">EV / AFF — annualised H1 2026</t>
  </si>
  <si>
    <t xml:space="preserve">EV / flowing barrel — Q2 2026 (C$/Boe/d)</t>
  </si>
  <si>
    <t xml:space="preserve">Recent Canadian liquids-rich deals have cleared roughly C$50,000-90,000/Boe/d. Confirm with current transactions.</t>
  </si>
  <si>
    <t xml:space="preserve">EV / flowing barrel — Q4 2026E (C$/Boe/d)</t>
  </si>
  <si>
    <t xml:space="preserve">The forward number. The gap between these two rows is what you are being asked to pay for growth.</t>
  </si>
  <si>
    <t xml:space="preserve">EV / 2P reserves (C$/Boe)</t>
  </si>
  <si>
    <t xml:space="preserve">Market cap / 2P NPV10 (P/NAV)</t>
  </si>
  <si>
    <t xml:space="preserve">Above 1.0x means the market pays more than the engineered before-tax reserve value.</t>
  </si>
  <si>
    <t xml:space="preserve">2P NPV10 per share (C$)</t>
  </si>
  <si>
    <t xml:space="preserve">Implied premium in the share price to 2P NPV10 per share</t>
  </si>
  <si>
    <t xml:space="preserve">TAKE-PRIVATE PRICE LADDER — what a bid would have to clear</t>
  </si>
  <si>
    <t xml:space="preserve">Premium to market</t>
  </si>
  <si>
    <t xml:space="preserve">Offer (C$/sh)</t>
  </si>
  <si>
    <t xml:space="preserve">Implied equity cheque and P/NAV</t>
  </si>
  <si>
    <t xml:space="preserve">READ THIS BEFORE MODULE 2</t>
  </si>
  <si>
    <t xml:space="preserve">If a 25-35% control premium puts the purchase price at a large multiple of 2P NPV10, the whole return depends on value the reserve report does not yet book: Sinclair, the Alhambra phase 3 expansion, and the undeveloped land. Your NAV module must value those explicitly and defensibly, because that is where the entire thesis lives.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</si>
</sst>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#,##0.0;\(#,##0.0\);\-"/>
    <numFmt numFmtId="167" formatCode="\$#,##0;&quot;($&quot;#,##0\);\-"/>
    <numFmt numFmtId="168" formatCode="0.0%"/>
    <numFmt numFmtId="169" formatCode="0.00\x"/>
    <numFmt numFmtId="170" formatCode="#,##0;\(#,##0\);\-"/>
    <numFmt numFmtId="171" formatCode="0"/>
    <numFmt numFmtId="172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30" hidden="false" customHeight="true" outlineLevel="0" collapsed="false">
      <c r="A5" s="5" t="s">
        <v>3</v>
      </c>
      <c r="B5" s="6" t="s">
        <v>4</v>
      </c>
    </row>
    <row r="6" customFormat="false" ht="30" hidden="false" customHeight="true" outlineLevel="0" collapsed="false">
      <c r="A6" s="5" t="s">
        <v>5</v>
      </c>
      <c r="B6" s="6" t="s">
        <v>6</v>
      </c>
    </row>
    <row r="7" customFormat="false" ht="30" hidden="false" customHeight="true" outlineLevel="0" collapsed="false">
      <c r="A7" s="5" t="s">
        <v>7</v>
      </c>
      <c r="B7" s="6" t="s">
        <v>8</v>
      </c>
    </row>
    <row r="9" customFormat="false" ht="15" hidden="false" customHeight="false" outlineLevel="0" collapsed="false">
      <c r="A9" s="3" t="s">
        <v>9</v>
      </c>
      <c r="B9" s="4"/>
    </row>
    <row r="10" customFormat="false" ht="15" hidden="false" customHeight="false" outlineLevel="0" collapsed="false">
      <c r="A10" s="7" t="s">
        <v>10</v>
      </c>
      <c r="B10" s="8" t="s">
        <v>11</v>
      </c>
    </row>
    <row r="11" customFormat="false" ht="15" hidden="false" customHeight="false" outlineLevel="0" collapsed="false">
      <c r="A11" s="5" t="s">
        <v>12</v>
      </c>
      <c r="B11" s="8" t="s">
        <v>13</v>
      </c>
    </row>
    <row r="12" customFormat="false" ht="15" hidden="false" customHeight="false" outlineLevel="0" collapsed="false">
      <c r="A12" s="9" t="s">
        <v>14</v>
      </c>
      <c r="B12" s="8" t="s">
        <v>15</v>
      </c>
    </row>
    <row r="13" customFormat="false" ht="15" hidden="false" customHeight="false" outlineLevel="0" collapsed="false">
      <c r="A13" s="10" t="s">
        <v>16</v>
      </c>
      <c r="B13" s="8" t="s">
        <v>17</v>
      </c>
    </row>
    <row r="15" customFormat="false" ht="15" hidden="false" customHeight="false" outlineLevel="0" collapsed="false">
      <c r="A15" s="3" t="s">
        <v>18</v>
      </c>
      <c r="B15" s="4"/>
    </row>
    <row r="16" customFormat="false" ht="15" hidden="false" customHeight="false" outlineLevel="0" collapsed="false">
      <c r="A16" s="5" t="s">
        <v>19</v>
      </c>
      <c r="B16" s="8" t="s">
        <v>20</v>
      </c>
    </row>
    <row r="17" customFormat="false" ht="15" hidden="false" customHeight="false" outlineLevel="0" collapsed="false">
      <c r="A17" s="5" t="s">
        <v>21</v>
      </c>
      <c r="B17" s="8" t="s">
        <v>22</v>
      </c>
    </row>
    <row r="18" customFormat="false" ht="15" hidden="false" customHeight="false" outlineLevel="0" collapsed="false">
      <c r="A18" s="5" t="s">
        <v>23</v>
      </c>
      <c r="B18" s="8" t="s">
        <v>24</v>
      </c>
    </row>
    <row r="19" customFormat="false" ht="15" hidden="false" customHeight="false" outlineLevel="0" collapsed="false">
      <c r="A19" s="5" t="s">
        <v>25</v>
      </c>
      <c r="B19" s="8" t="s">
        <v>26</v>
      </c>
    </row>
    <row r="20" customFormat="false" ht="15" hidden="false" customHeight="false" outlineLevel="0" collapsed="false">
      <c r="A20" s="5" t="s">
        <v>27</v>
      </c>
      <c r="B20" s="8" t="s">
        <v>28</v>
      </c>
    </row>
    <row r="21" customFormat="false" ht="15" hidden="false" customHeight="false" outlineLevel="0" collapsed="false">
      <c r="A21" s="5" t="s">
        <v>29</v>
      </c>
      <c r="B21" s="8" t="s">
        <v>30</v>
      </c>
    </row>
    <row r="22" customFormat="false" ht="15" hidden="false" customHeight="false" outlineLevel="0" collapsed="false">
      <c r="A22" s="5" t="s">
        <v>31</v>
      </c>
      <c r="B22" s="8" t="s">
        <v>32</v>
      </c>
    </row>
    <row r="23" customFormat="false" ht="15" hidden="false" customHeight="false" outlineLevel="0" collapsed="false">
      <c r="A23" s="5" t="s">
        <v>33</v>
      </c>
      <c r="B23" s="8" t="s">
        <v>34</v>
      </c>
    </row>
    <row r="24" customFormat="false" ht="15" hidden="false" customHeight="false" outlineLevel="0" collapsed="false">
      <c r="A24" s="5" t="s">
        <v>35</v>
      </c>
      <c r="B24" s="8" t="s">
        <v>36</v>
      </c>
    </row>
    <row r="26" customFormat="false" ht="15" hidden="false" customHeight="false" outlineLevel="0" collapsed="false">
      <c r="A26" s="3" t="s">
        <v>37</v>
      </c>
      <c r="B26" s="4"/>
    </row>
    <row r="27" customFormat="false" ht="15" hidden="false" customHeight="false" outlineLevel="0" collapsed="false">
      <c r="A27" s="5" t="s">
        <v>38</v>
      </c>
      <c r="B27" s="8" t="s">
        <v>39</v>
      </c>
    </row>
    <row r="28" customFormat="false" ht="15" hidden="false" customHeight="false" outlineLevel="0" collapsed="false">
      <c r="A28" s="5" t="s">
        <v>40</v>
      </c>
      <c r="B28" s="8" t="s">
        <v>41</v>
      </c>
    </row>
    <row r="29" customFormat="false" ht="15" hidden="false" customHeight="false" outlineLevel="0" collapsed="false">
      <c r="A29" s="5" t="s">
        <v>42</v>
      </c>
      <c r="B29" s="8" t="s">
        <v>43</v>
      </c>
    </row>
    <row r="30" customFormat="false" ht="15" hidden="false" customHeight="false" outlineLevel="0" collapsed="false">
      <c r="A30" s="5" t="s">
        <v>44</v>
      </c>
      <c r="B30" s="8" t="s">
        <v>45</v>
      </c>
    </row>
    <row r="31" customFormat="false" ht="15" hidden="false" customHeight="false" outlineLevel="0" collapsed="false">
      <c r="A31" s="5" t="s">
        <v>46</v>
      </c>
      <c r="B31" s="8" t="s">
        <v>47</v>
      </c>
    </row>
    <row r="34" customFormat="false" ht="15" hidden="false" customHeight="false" outlineLevel="0" collapsed="false">
      <c r="A34" s="2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3" t="s">
        <v>51</v>
      </c>
      <c r="B4" s="4"/>
      <c r="C4" s="4"/>
      <c r="D4" s="4"/>
    </row>
    <row r="5" customFormat="false" ht="15" hidden="false" customHeight="false" outlineLevel="0" collapsed="false">
      <c r="A5" s="5" t="s">
        <v>52</v>
      </c>
      <c r="B5" s="11" t="s">
        <v>53</v>
      </c>
      <c r="D5" s="2" t="s">
        <v>54</v>
      </c>
    </row>
    <row r="6" customFormat="false" ht="15" hidden="false" customHeight="false" outlineLevel="0" collapsed="false">
      <c r="A6" s="5" t="s">
        <v>55</v>
      </c>
      <c r="B6" s="12" t="n">
        <v>32.65</v>
      </c>
      <c r="D6" s="2" t="s">
        <v>56</v>
      </c>
    </row>
    <row r="7" customFormat="false" ht="15" hidden="false" customHeight="false" outlineLevel="0" collapsed="false">
      <c r="A7" s="5" t="s">
        <v>57</v>
      </c>
      <c r="B7" s="13" t="n">
        <v>37.1</v>
      </c>
      <c r="D7" s="2" t="s">
        <v>58</v>
      </c>
    </row>
    <row r="9" customFormat="false" ht="15" hidden="false" customHeight="false" outlineLevel="0" collapsed="false">
      <c r="A9" s="3" t="s">
        <v>59</v>
      </c>
      <c r="B9" s="4"/>
      <c r="C9" s="4"/>
      <c r="D9" s="4"/>
    </row>
    <row r="10" customFormat="false" ht="15" hidden="false" customHeight="false" outlineLevel="0" collapsed="false">
      <c r="A10" s="5" t="s">
        <v>60</v>
      </c>
      <c r="B10" s="14" t="n">
        <v>145.8</v>
      </c>
      <c r="D10" s="2" t="s">
        <v>61</v>
      </c>
    </row>
    <row r="11" customFormat="false" ht="15" hidden="false" customHeight="false" outlineLevel="0" collapsed="false">
      <c r="A11" s="5" t="s">
        <v>62</v>
      </c>
      <c r="B11" s="15" t="n">
        <f aca="false">B6*B10</f>
        <v>4760.37</v>
      </c>
    </row>
    <row r="13" customFormat="false" ht="15" hidden="false" customHeight="false" outlineLevel="0" collapsed="false">
      <c r="A13" s="3" t="s">
        <v>63</v>
      </c>
      <c r="B13" s="4"/>
      <c r="C13" s="4"/>
      <c r="D13" s="4"/>
    </row>
    <row r="14" customFormat="false" ht="15" hidden="false" customHeight="false" outlineLevel="0" collapsed="false">
      <c r="A14" s="5" t="s">
        <v>64</v>
      </c>
      <c r="B14" s="16" t="n">
        <v>449</v>
      </c>
      <c r="D14" s="2" t="s">
        <v>65</v>
      </c>
    </row>
    <row r="15" customFormat="false" ht="15" hidden="false" customHeight="false" outlineLevel="0" collapsed="false">
      <c r="A15" s="5" t="s">
        <v>66</v>
      </c>
      <c r="B15" s="16" t="n">
        <v>0</v>
      </c>
      <c r="D15" s="2" t="s">
        <v>67</v>
      </c>
    </row>
    <row r="16" customFormat="false" ht="15" hidden="false" customHeight="false" outlineLevel="0" collapsed="false">
      <c r="A16" s="5" t="s">
        <v>68</v>
      </c>
      <c r="B16" s="16" t="n">
        <v>-329.1</v>
      </c>
      <c r="D16" s="2" t="s">
        <v>69</v>
      </c>
    </row>
    <row r="17" customFormat="false" ht="27.75" hidden="false" customHeight="true" outlineLevel="0" collapsed="false">
      <c r="A17" s="5" t="s">
        <v>70</v>
      </c>
      <c r="B17" s="16" t="n">
        <v>208</v>
      </c>
      <c r="D17" s="17" t="s">
        <v>71</v>
      </c>
    </row>
    <row r="18" customFormat="false" ht="15" hidden="false" customHeight="false" outlineLevel="0" collapsed="false">
      <c r="A18" s="5" t="s">
        <v>72</v>
      </c>
      <c r="B18" s="16" t="n">
        <v>750</v>
      </c>
      <c r="D18" s="2" t="s">
        <v>73</v>
      </c>
    </row>
    <row r="20" customFormat="false" ht="15" hidden="false" customHeight="false" outlineLevel="0" collapsed="false">
      <c r="A20" s="3" t="s">
        <v>74</v>
      </c>
      <c r="B20" s="4"/>
      <c r="C20" s="4"/>
      <c r="D20" s="4"/>
    </row>
    <row r="21" customFormat="false" ht="15" hidden="false" customHeight="false" outlineLevel="0" collapsed="false">
      <c r="A21" s="5" t="s">
        <v>75</v>
      </c>
      <c r="B21" s="15" t="n">
        <f aca="false">B11</f>
        <v>4760.37</v>
      </c>
    </row>
    <row r="22" customFormat="false" ht="15" hidden="false" customHeight="false" outlineLevel="0" collapsed="false">
      <c r="A22" s="5" t="s">
        <v>76</v>
      </c>
      <c r="B22" s="15" t="n">
        <f aca="false">B16</f>
        <v>-329.1</v>
      </c>
    </row>
    <row r="23" customFormat="false" ht="15" hidden="false" customHeight="false" outlineLevel="0" collapsed="false">
      <c r="A23" s="5" t="s">
        <v>77</v>
      </c>
      <c r="B23" s="18" t="n">
        <f aca="false">SUM(B21:B22)</f>
        <v>4431.27</v>
      </c>
    </row>
    <row r="24" customFormat="false" ht="15" hidden="false" customHeight="false" outlineLevel="0" collapsed="false">
      <c r="A24" s="5" t="s">
        <v>78</v>
      </c>
      <c r="B24" s="15" t="n">
        <f aca="false">-B17</f>
        <v>-208</v>
      </c>
    </row>
    <row r="25" customFormat="false" ht="15" hidden="false" customHeight="false" outlineLevel="0" collapsed="false">
      <c r="A25" s="5" t="s">
        <v>79</v>
      </c>
      <c r="B25" s="18" t="n">
        <f aca="false">B23+B24</f>
        <v>4223.27</v>
      </c>
      <c r="D25" s="2" t="s">
        <v>80</v>
      </c>
    </row>
    <row r="27" customFormat="false" ht="15" hidden="false" customHeight="false" outlineLevel="0" collapsed="false">
      <c r="A27" s="3" t="s">
        <v>81</v>
      </c>
      <c r="B27" s="4"/>
      <c r="C27" s="4"/>
      <c r="D27" s="4"/>
    </row>
    <row r="28" customFormat="false" ht="15" hidden="false" customHeight="false" outlineLevel="0" collapsed="false">
      <c r="A28" s="19" t="s">
        <v>82</v>
      </c>
      <c r="B28" s="20" t="s">
        <v>83</v>
      </c>
      <c r="C28" s="21"/>
      <c r="D28" s="19" t="s">
        <v>84</v>
      </c>
    </row>
    <row r="29" customFormat="false" ht="15" hidden="false" customHeight="false" outlineLevel="0" collapsed="false">
      <c r="A29" s="8" t="s">
        <v>85</v>
      </c>
      <c r="B29" s="22" t="n">
        <v>0.3283</v>
      </c>
      <c r="D29" s="2" t="s">
        <v>86</v>
      </c>
    </row>
    <row r="30" customFormat="false" ht="15" hidden="false" customHeight="false" outlineLevel="0" collapsed="false">
      <c r="A30" s="8" t="s">
        <v>87</v>
      </c>
      <c r="B30" s="22" t="n">
        <v>0.1044</v>
      </c>
      <c r="D30" s="2" t="s">
        <v>88</v>
      </c>
    </row>
    <row r="31" customFormat="false" ht="15" hidden="false" customHeight="false" outlineLevel="0" collapsed="false">
      <c r="A31" s="8" t="s">
        <v>89</v>
      </c>
      <c r="B31" s="22" t="n">
        <v>0.1036</v>
      </c>
      <c r="D31" s="2" t="s">
        <v>90</v>
      </c>
    </row>
    <row r="32" customFormat="false" ht="15" hidden="false" customHeight="false" outlineLevel="0" collapsed="false">
      <c r="A32" s="5" t="s">
        <v>91</v>
      </c>
      <c r="B32" s="23" t="n">
        <f aca="false">SUM(B29:B31)</f>
        <v>0.5363</v>
      </c>
      <c r="D32" s="24" t="s">
        <v>92</v>
      </c>
    </row>
    <row r="33" customFormat="false" ht="15" hidden="false" customHeight="false" outlineLevel="0" collapsed="false">
      <c r="A33" s="8" t="s">
        <v>93</v>
      </c>
      <c r="B33" s="22" t="n">
        <v>0.0802</v>
      </c>
      <c r="D33" s="2" t="s">
        <v>94</v>
      </c>
    </row>
    <row r="34" customFormat="false" ht="15" hidden="false" customHeight="false" outlineLevel="0" collapsed="false">
      <c r="A34" s="8" t="s">
        <v>95</v>
      </c>
      <c r="B34" s="25" t="n">
        <f aca="false">1-B32-B33</f>
        <v>0.3835</v>
      </c>
    </row>
    <row r="36" customFormat="false" ht="42" hidden="false" customHeight="true" outlineLevel="0" collapsed="false">
      <c r="A36" s="26" t="s">
        <v>96</v>
      </c>
      <c r="B36" s="27" t="s">
        <v>97</v>
      </c>
      <c r="C36" s="27"/>
      <c r="D36" s="27"/>
    </row>
  </sheetData>
  <mergeCells count="1">
    <mergeCell ref="B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3"/>
    <col collapsed="false" customWidth="true" hidden="false" outlineLevel="0" max="8" min="8" style="0" width="52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A4" s="19" t="s">
        <v>100</v>
      </c>
      <c r="B4" s="20" t="s">
        <v>101</v>
      </c>
      <c r="C4" s="20" t="s">
        <v>102</v>
      </c>
      <c r="D4" s="20" t="s">
        <v>103</v>
      </c>
      <c r="E4" s="20" t="s">
        <v>104</v>
      </c>
      <c r="F4" s="20" t="s">
        <v>105</v>
      </c>
      <c r="G4" s="20" t="s">
        <v>106</v>
      </c>
      <c r="H4" s="19" t="s">
        <v>84</v>
      </c>
    </row>
    <row r="5" customFormat="false" ht="15" hidden="false" customHeight="false" outlineLevel="0" collapsed="false">
      <c r="A5" s="3" t="s">
        <v>107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8" t="s">
        <v>108</v>
      </c>
      <c r="B6" s="16" t="n">
        <v>335.9</v>
      </c>
      <c r="C6" s="16" t="n">
        <v>1288.7</v>
      </c>
      <c r="D6" s="16" t="n">
        <v>4.2</v>
      </c>
      <c r="E6" s="16" t="n">
        <v>-1.9</v>
      </c>
      <c r="F6" s="16" t="n">
        <v>53.2</v>
      </c>
      <c r="G6" s="16" t="n">
        <v>68.3</v>
      </c>
      <c r="H6" s="2" t="s">
        <v>109</v>
      </c>
    </row>
    <row r="7" customFormat="false" ht="15" hidden="false" customHeight="false" outlineLevel="0" collapsed="false">
      <c r="A7" s="8" t="s">
        <v>110</v>
      </c>
      <c r="B7" s="16" t="n">
        <v>815.3</v>
      </c>
      <c r="C7" s="16" t="n">
        <v>417.3</v>
      </c>
      <c r="D7" s="16" t="n">
        <v>39.8</v>
      </c>
      <c r="E7" s="16" t="n">
        <v>185.4</v>
      </c>
      <c r="F7" s="16" t="n">
        <v>116.2</v>
      </c>
      <c r="G7" s="16" t="n">
        <v>144.4</v>
      </c>
    </row>
    <row r="8" customFormat="false" ht="15" hidden="false" customHeight="false" outlineLevel="0" collapsed="false">
      <c r="A8" s="8" t="s">
        <v>111</v>
      </c>
      <c r="B8" s="16" t="n">
        <v>930.3</v>
      </c>
      <c r="C8" s="16" t="n">
        <v>467.2</v>
      </c>
      <c r="D8" s="16" t="n">
        <v>81.5</v>
      </c>
      <c r="E8" s="16" t="n">
        <v>140.1</v>
      </c>
      <c r="F8" s="16" t="n">
        <v>143.4</v>
      </c>
      <c r="G8" s="16" t="n">
        <v>175.6</v>
      </c>
      <c r="H8" s="2" t="s">
        <v>112</v>
      </c>
    </row>
    <row r="9" customFormat="false" ht="15" hidden="false" customHeight="false" outlineLevel="0" collapsed="false">
      <c r="A9" s="8" t="s">
        <v>113</v>
      </c>
      <c r="B9" s="16" t="n">
        <v>37.3</v>
      </c>
      <c r="C9" s="16" t="n">
        <v>-385.5</v>
      </c>
      <c r="D9" s="16" t="n">
        <v>-85.5</v>
      </c>
      <c r="E9" s="16" t="n">
        <v>-84.6</v>
      </c>
      <c r="F9" s="16" t="n">
        <v>-146.9</v>
      </c>
      <c r="G9" s="16" t="n">
        <v>-128.5</v>
      </c>
      <c r="H9" s="2" t="s">
        <v>114</v>
      </c>
    </row>
    <row r="10" customFormat="false" ht="15" hidden="false" customHeight="false" outlineLevel="0" collapsed="false">
      <c r="A10" s="3" t="s">
        <v>115</v>
      </c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8" t="s">
        <v>116</v>
      </c>
      <c r="B11" s="16" t="n">
        <v>233.5</v>
      </c>
      <c r="C11" s="16" t="n">
        <v>569.6</v>
      </c>
      <c r="D11" s="16" t="n">
        <v>106.2</v>
      </c>
      <c r="E11" s="16" t="n">
        <v>158.3</v>
      </c>
      <c r="F11" s="16" t="n">
        <v>161.7</v>
      </c>
      <c r="G11" s="16" t="n">
        <v>186.8</v>
      </c>
    </row>
    <row r="12" customFormat="false" ht="15" hidden="false" customHeight="false" outlineLevel="0" collapsed="false">
      <c r="A12" s="8" t="s">
        <v>117</v>
      </c>
      <c r="B12" s="16" t="n">
        <v>14.5</v>
      </c>
      <c r="C12" s="16" t="n">
        <v>64.9</v>
      </c>
      <c r="D12" s="16" t="n">
        <v>5</v>
      </c>
      <c r="E12" s="16" t="n">
        <v>35</v>
      </c>
      <c r="F12" s="16" t="n">
        <v>59.6</v>
      </c>
      <c r="G12" s="16" t="n">
        <v>99.7</v>
      </c>
      <c r="H12" s="2" t="s">
        <v>118</v>
      </c>
    </row>
    <row r="13" customFormat="false" ht="15" hidden="false" customHeight="false" outlineLevel="0" collapsed="false">
      <c r="A13" s="8" t="s">
        <v>119</v>
      </c>
      <c r="B13" s="16" t="n">
        <v>172.6</v>
      </c>
      <c r="C13" s="16" t="n">
        <v>121.3</v>
      </c>
      <c r="D13" s="16" t="n">
        <v>40.2</v>
      </c>
      <c r="E13" s="16" t="n">
        <v>20.8</v>
      </c>
      <c r="F13" s="16" t="n">
        <v>31.8</v>
      </c>
      <c r="G13" s="16" t="n">
        <v>3.5</v>
      </c>
      <c r="H13" s="2" t="s">
        <v>120</v>
      </c>
    </row>
    <row r="14" customFormat="false" ht="15" hidden="false" customHeight="false" outlineLevel="0" collapsed="false">
      <c r="A14" s="8" t="s">
        <v>121</v>
      </c>
      <c r="B14" s="16" t="n">
        <v>8.4</v>
      </c>
      <c r="C14" s="16" t="n">
        <v>8.5</v>
      </c>
      <c r="D14" s="16" t="n">
        <v>1.6</v>
      </c>
      <c r="E14" s="16" t="n">
        <v>2.2</v>
      </c>
      <c r="F14" s="16" t="n">
        <v>1.5</v>
      </c>
      <c r="G14" s="16" t="n">
        <v>4.3</v>
      </c>
      <c r="H14" s="2" t="s">
        <v>122</v>
      </c>
    </row>
    <row r="15" customFormat="false" ht="15" hidden="false" customHeight="false" outlineLevel="0" collapsed="false">
      <c r="A15" s="8" t="s">
        <v>123</v>
      </c>
      <c r="B15" s="16" t="n">
        <v>413.2</v>
      </c>
      <c r="C15" s="16" t="n">
        <v>24.2</v>
      </c>
      <c r="D15" s="16" t="n">
        <v>4.6</v>
      </c>
      <c r="E15" s="16" t="n">
        <v>-7.7</v>
      </c>
      <c r="F15" s="16" t="n">
        <v>2.3</v>
      </c>
      <c r="G15" s="16" t="n">
        <v>2.4</v>
      </c>
      <c r="H15" s="2" t="s">
        <v>124</v>
      </c>
    </row>
    <row r="16" customFormat="false" ht="15" hidden="false" customHeight="false" outlineLevel="0" collapsed="false">
      <c r="A16" s="5" t="s">
        <v>125</v>
      </c>
      <c r="B16" s="18" t="n">
        <f aca="false">SUM(B11:B15)</f>
        <v>842.2</v>
      </c>
      <c r="C16" s="18" t="n">
        <f aca="false">SUM(C11:C15)</f>
        <v>788.5</v>
      </c>
      <c r="D16" s="18" t="n">
        <f aca="false">SUM(D11:D15)</f>
        <v>157.6</v>
      </c>
      <c r="E16" s="18" t="n">
        <f aca="false">SUM(E11:E15)</f>
        <v>208.6</v>
      </c>
      <c r="F16" s="18" t="n">
        <f aca="false">SUM(F11:F15)</f>
        <v>256.9</v>
      </c>
      <c r="G16" s="18" t="n">
        <f aca="false">SUM(G11:G15)</f>
        <v>296.7</v>
      </c>
      <c r="H16" s="2" t="s">
        <v>126</v>
      </c>
    </row>
    <row r="17" customFormat="false" ht="15" hidden="false" customHeight="false" outlineLevel="0" collapsed="false">
      <c r="A17" s="8" t="s">
        <v>127</v>
      </c>
      <c r="B17" s="16" t="n">
        <v>38.1</v>
      </c>
      <c r="C17" s="16" t="n">
        <v>39</v>
      </c>
      <c r="D17" s="16" t="n">
        <v>3</v>
      </c>
      <c r="E17" s="16" t="n">
        <v>9.4</v>
      </c>
      <c r="F17" s="16" t="n">
        <v>26.5</v>
      </c>
      <c r="G17" s="16" t="n">
        <v>1.5</v>
      </c>
    </row>
    <row r="18" customFormat="false" ht="15" hidden="false" customHeight="false" outlineLevel="0" collapsed="false">
      <c r="A18" s="3" t="s">
        <v>128</v>
      </c>
      <c r="B18" s="4"/>
      <c r="C18" s="4"/>
      <c r="D18" s="4"/>
      <c r="E18" s="4"/>
      <c r="F18" s="4"/>
      <c r="G18" s="4"/>
      <c r="H18" s="4"/>
    </row>
    <row r="19" customFormat="false" ht="15" hidden="false" customHeight="false" outlineLevel="0" collapsed="false">
      <c r="A19" s="5" t="s">
        <v>129</v>
      </c>
      <c r="B19" s="16" t="n">
        <v>4757.5</v>
      </c>
      <c r="C19" s="16" t="n">
        <v>3587.2</v>
      </c>
      <c r="D19" s="16" t="n">
        <v>3517.9</v>
      </c>
      <c r="E19" s="28" t="s">
        <v>130</v>
      </c>
      <c r="F19" s="16" t="n">
        <v>3746.7</v>
      </c>
      <c r="G19" s="16" t="n">
        <v>3832.1</v>
      </c>
    </row>
    <row r="20" customFormat="false" ht="15" hidden="false" customHeight="false" outlineLevel="0" collapsed="false">
      <c r="A20" s="8" t="s">
        <v>131</v>
      </c>
      <c r="B20" s="16" t="n">
        <v>563.9</v>
      </c>
      <c r="C20" s="16" t="n">
        <v>137.3</v>
      </c>
      <c r="D20" s="16" t="n">
        <v>575.3</v>
      </c>
      <c r="E20" s="28" t="s">
        <v>130</v>
      </c>
      <c r="F20" s="16" t="n">
        <v>141.4</v>
      </c>
      <c r="G20" s="16" t="n">
        <v>208</v>
      </c>
    </row>
    <row r="21" customFormat="false" ht="15" hidden="false" customHeight="false" outlineLevel="0" collapsed="false">
      <c r="A21" s="8" t="s">
        <v>132</v>
      </c>
      <c r="B21" s="16" t="n">
        <v>173</v>
      </c>
      <c r="C21" s="16" t="n">
        <v>0</v>
      </c>
      <c r="D21" s="16" t="n">
        <v>0</v>
      </c>
      <c r="E21" s="28" t="s">
        <v>130</v>
      </c>
      <c r="F21" s="16" t="n">
        <v>0</v>
      </c>
      <c r="G21" s="16" t="n">
        <v>0</v>
      </c>
      <c r="H21" s="2" t="s">
        <v>133</v>
      </c>
    </row>
    <row r="22" customFormat="false" ht="15" hidden="false" customHeight="false" outlineLevel="0" collapsed="false">
      <c r="A22" s="8" t="s">
        <v>134</v>
      </c>
      <c r="B22" s="16" t="n">
        <v>188.4</v>
      </c>
      <c r="C22" s="16" t="n">
        <v>-672.8</v>
      </c>
      <c r="D22" s="16" t="n">
        <v>-500.9</v>
      </c>
      <c r="E22" s="28" t="s">
        <v>130</v>
      </c>
      <c r="F22" s="16" t="n">
        <v>-515.8</v>
      </c>
      <c r="G22" s="16" t="n">
        <v>-329.1</v>
      </c>
      <c r="H22" s="2" t="s">
        <v>135</v>
      </c>
    </row>
    <row r="23" customFormat="false" ht="15" hidden="false" customHeight="false" outlineLevel="0" collapsed="false">
      <c r="A23" s="8" t="s">
        <v>60</v>
      </c>
      <c r="B23" s="14" t="n">
        <v>146.9</v>
      </c>
      <c r="C23" s="14" t="n">
        <v>144.2</v>
      </c>
      <c r="D23" s="14" t="n">
        <v>143.3</v>
      </c>
      <c r="E23" s="14" t="n">
        <v>144.2</v>
      </c>
      <c r="F23" s="14" t="n">
        <v>144.9</v>
      </c>
      <c r="G23" s="14" t="n">
        <v>145.8</v>
      </c>
    </row>
    <row r="25" customFormat="false" ht="15" hidden="false" customHeight="false" outlineLevel="0" collapsed="false">
      <c r="A25" s="3" t="s">
        <v>136</v>
      </c>
      <c r="B25" s="4"/>
      <c r="C25" s="4"/>
      <c r="D25" s="4"/>
      <c r="E25" s="4"/>
      <c r="F25" s="4"/>
      <c r="G25" s="4"/>
      <c r="H25" s="4"/>
    </row>
    <row r="26" customFormat="false" ht="15" hidden="false" customHeight="false" outlineLevel="0" collapsed="false">
      <c r="A26" s="5" t="s">
        <v>137</v>
      </c>
      <c r="B26" s="25" t="n">
        <f aca="false">IFERROR(B8/B7,"")</f>
        <v>1.1410523733595</v>
      </c>
      <c r="C26" s="25" t="n">
        <f aca="false">IFERROR(C8/C7,"")</f>
        <v>1.11957824107357</v>
      </c>
      <c r="D26" s="25" t="n">
        <f aca="false">IFERROR(D8/D7,"")</f>
        <v>2.04773869346734</v>
      </c>
      <c r="E26" s="25" t="n">
        <f aca="false">IFERROR(E8/E7,"")</f>
        <v>0.755663430420712</v>
      </c>
      <c r="F26" s="25" t="n">
        <f aca="false">IFERROR(F8/F7,"")</f>
        <v>1.23407917383821</v>
      </c>
      <c r="G26" s="25" t="n">
        <f aca="false">IFERROR(G8/G7,"")</f>
        <v>1.21606648199446</v>
      </c>
    </row>
    <row r="27" customFormat="false" ht="15" hidden="false" customHeight="false" outlineLevel="0" collapsed="false">
      <c r="A27" s="5" t="s">
        <v>138</v>
      </c>
      <c r="B27" s="29" t="n">
        <f aca="false">IFERROR(B16/B8,"")</f>
        <v>0.90529936579598</v>
      </c>
      <c r="C27" s="29" t="n">
        <f aca="false">IFERROR(C16/C8,"")</f>
        <v>1.68771404109589</v>
      </c>
      <c r="D27" s="29" t="n">
        <f aca="false">IFERROR(D16/D8,"")</f>
        <v>1.93374233128834</v>
      </c>
      <c r="E27" s="29" t="n">
        <f aca="false">IFERROR(E16/E8,"")</f>
        <v>1.48893647394718</v>
      </c>
      <c r="F27" s="29" t="n">
        <f aca="false">IFERROR(F16/F8,"")</f>
        <v>1.79149232914923</v>
      </c>
      <c r="G27" s="29" t="n">
        <f aca="false">IFERROR(G16/G8,"")</f>
        <v>1.68963553530752</v>
      </c>
      <c r="H27" s="24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3"/>
    <col collapsed="false" customWidth="true" hidden="false" outlineLevel="0" max="8" min="8" style="0" width="52"/>
  </cols>
  <sheetData>
    <row r="1" customFormat="false" ht="17.35" hidden="false" customHeight="false" outlineLevel="0" collapsed="false">
      <c r="A1" s="1" t="s">
        <v>140</v>
      </c>
    </row>
    <row r="2" customFormat="false" ht="15" hidden="false" customHeight="false" outlineLevel="0" collapsed="false">
      <c r="A2" s="2" t="s">
        <v>141</v>
      </c>
    </row>
    <row r="4" customFormat="false" ht="15" hidden="false" customHeight="false" outlineLevel="0" collapsed="false">
      <c r="A4" s="19"/>
      <c r="B4" s="20" t="s">
        <v>101</v>
      </c>
      <c r="C4" s="20" t="s">
        <v>102</v>
      </c>
      <c r="D4" s="20" t="s">
        <v>103</v>
      </c>
      <c r="E4" s="20" t="s">
        <v>104</v>
      </c>
      <c r="F4" s="20" t="s">
        <v>105</v>
      </c>
      <c r="G4" s="20" t="s">
        <v>106</v>
      </c>
      <c r="H4" s="19" t="s">
        <v>84</v>
      </c>
    </row>
    <row r="5" customFormat="false" ht="15" hidden="false" customHeight="false" outlineLevel="0" collapsed="false">
      <c r="A5" s="3" t="s">
        <v>142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8" t="s">
        <v>143</v>
      </c>
      <c r="B6" s="14" t="n">
        <v>306.8</v>
      </c>
      <c r="C6" s="14" t="n">
        <v>131.9</v>
      </c>
      <c r="D6" s="14" t="n">
        <v>103.3</v>
      </c>
      <c r="E6" s="14" t="n">
        <v>133.1</v>
      </c>
      <c r="F6" s="14" t="n">
        <v>144.5</v>
      </c>
      <c r="G6" s="14" t="n">
        <v>144.4</v>
      </c>
    </row>
    <row r="7" customFormat="false" ht="15" hidden="false" customHeight="false" outlineLevel="0" collapsed="false">
      <c r="A7" s="8" t="s">
        <v>144</v>
      </c>
      <c r="B7" s="30" t="n">
        <v>40432</v>
      </c>
      <c r="C7" s="30" t="n">
        <v>16402</v>
      </c>
      <c r="D7" s="30" t="n">
        <v>11636</v>
      </c>
      <c r="E7" s="30" t="n">
        <v>19472</v>
      </c>
      <c r="F7" s="30" t="n">
        <v>18137</v>
      </c>
      <c r="G7" s="30" t="n">
        <v>17803</v>
      </c>
    </row>
    <row r="8" customFormat="false" ht="15" hidden="false" customHeight="false" outlineLevel="0" collapsed="false">
      <c r="A8" s="8" t="s">
        <v>145</v>
      </c>
      <c r="B8" s="30" t="n">
        <v>6920</v>
      </c>
      <c r="C8" s="30" t="n">
        <v>3853</v>
      </c>
      <c r="D8" s="30" t="n">
        <v>2786</v>
      </c>
      <c r="E8" s="30" t="n">
        <v>5318</v>
      </c>
      <c r="F8" s="30" t="n">
        <v>6037</v>
      </c>
      <c r="G8" s="30" t="n">
        <v>5415</v>
      </c>
      <c r="H8" s="2" t="s">
        <v>146</v>
      </c>
    </row>
    <row r="9" customFormat="false" ht="15" hidden="false" customHeight="false" outlineLevel="0" collapsed="false">
      <c r="A9" s="5" t="s">
        <v>147</v>
      </c>
      <c r="B9" s="31" t="n">
        <f aca="false">B6*1000/6+B7+B8</f>
        <v>98485.3333333333</v>
      </c>
      <c r="C9" s="31" t="n">
        <f aca="false">C6*1000/6+C7+C8</f>
        <v>42238.3333333333</v>
      </c>
      <c r="D9" s="31" t="n">
        <f aca="false">D6*1000/6+D7+D8</f>
        <v>31638.6666666667</v>
      </c>
      <c r="E9" s="31" t="n">
        <f aca="false">E6*1000/6+E7+E8</f>
        <v>46973.3333333333</v>
      </c>
      <c r="F9" s="31" t="n">
        <f aca="false">F6*1000/6+F7+F8</f>
        <v>48257.3333333333</v>
      </c>
      <c r="G9" s="31" t="n">
        <f aca="false">G6*1000/6+G7+G8</f>
        <v>47284.6666666667</v>
      </c>
      <c r="H9" s="2" t="s">
        <v>148</v>
      </c>
    </row>
    <row r="10" customFormat="false" ht="15" hidden="false" customHeight="false" outlineLevel="0" collapsed="false">
      <c r="A10" s="8" t="s">
        <v>149</v>
      </c>
      <c r="B10" s="25" t="n">
        <f aca="false">(B6+B7)/B9</f>
        <v>0.413653471244449</v>
      </c>
      <c r="C10" s="25" t="n">
        <f aca="false">(C6+C7)/C9</f>
        <v>0.39144300201239</v>
      </c>
      <c r="D10" s="25" t="n">
        <f aca="false">(D6+D7)/D9</f>
        <v>0.371042816806439</v>
      </c>
      <c r="E10" s="25" t="n">
        <f aca="false">(E6+E7)/E9</f>
        <v>0.417366590973602</v>
      </c>
      <c r="F10" s="25" t="n">
        <f aca="false">(F6+F7)/F9</f>
        <v>0.378833614234797</v>
      </c>
      <c r="G10" s="25" t="n">
        <f aca="false">(G6+G7)/G9</f>
        <v>0.379560675060273</v>
      </c>
    </row>
    <row r="11" customFormat="false" ht="15" hidden="false" customHeight="false" outlineLevel="0" collapsed="false">
      <c r="A11" s="3" t="s">
        <v>150</v>
      </c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8" t="s">
        <v>116</v>
      </c>
      <c r="B12" s="30" t="n">
        <v>7537</v>
      </c>
      <c r="C12" s="30" t="n">
        <v>14161</v>
      </c>
      <c r="D12" s="30" t="n">
        <v>9223</v>
      </c>
      <c r="E12" s="30" t="n">
        <v>25752</v>
      </c>
      <c r="F12" s="30" t="n">
        <v>28750</v>
      </c>
      <c r="G12" s="30" t="n">
        <v>27466</v>
      </c>
      <c r="H12" s="2" t="s">
        <v>151</v>
      </c>
    </row>
    <row r="13" customFormat="false" ht="15" hidden="false" customHeight="false" outlineLevel="0" collapsed="false">
      <c r="A13" s="8" t="s">
        <v>119</v>
      </c>
      <c r="B13" s="30" t="n">
        <v>22404</v>
      </c>
      <c r="C13" s="30" t="n">
        <v>21216</v>
      </c>
      <c r="D13" s="30" t="n">
        <v>21962</v>
      </c>
      <c r="E13" s="30" t="n">
        <v>20387</v>
      </c>
      <c r="F13" s="30" t="n">
        <v>19088</v>
      </c>
      <c r="G13" s="30" t="n">
        <v>19413</v>
      </c>
      <c r="H13" s="2" t="s">
        <v>152</v>
      </c>
    </row>
    <row r="14" customFormat="false" ht="15" hidden="false" customHeight="false" outlineLevel="0" collapsed="false">
      <c r="A14" s="8" t="s">
        <v>153</v>
      </c>
      <c r="B14" s="30" t="n">
        <v>1226</v>
      </c>
      <c r="C14" s="30" t="n">
        <v>770</v>
      </c>
      <c r="D14" s="30" t="n">
        <v>446</v>
      </c>
      <c r="E14" s="30" t="n">
        <v>834</v>
      </c>
      <c r="F14" s="30" t="n">
        <v>417</v>
      </c>
      <c r="G14" s="30" t="n">
        <v>400</v>
      </c>
    </row>
    <row r="15" customFormat="false" ht="15" hidden="false" customHeight="false" outlineLevel="0" collapsed="false">
      <c r="A15" s="8" t="s">
        <v>154</v>
      </c>
      <c r="B15" s="30" t="n">
        <v>67323</v>
      </c>
      <c r="C15" s="30" t="n">
        <v>6091</v>
      </c>
      <c r="D15" s="30" t="n">
        <v>0</v>
      </c>
      <c r="E15" s="30" t="n">
        <v>0</v>
      </c>
      <c r="F15" s="30" t="n">
        <v>0</v>
      </c>
      <c r="G15" s="30" t="n">
        <v>0</v>
      </c>
      <c r="H15" s="2" t="s">
        <v>155</v>
      </c>
    </row>
    <row r="16" customFormat="false" ht="15" hidden="false" customHeight="false" outlineLevel="0" collapsed="false">
      <c r="A16" s="5" t="s">
        <v>147</v>
      </c>
      <c r="B16" s="31" t="n">
        <f aca="false">SUM(B12:B15)</f>
        <v>98490</v>
      </c>
      <c r="C16" s="31" t="n">
        <f aca="false">SUM(C12:C15)</f>
        <v>42238</v>
      </c>
      <c r="D16" s="31" t="n">
        <f aca="false">SUM(D12:D15)</f>
        <v>31631</v>
      </c>
      <c r="E16" s="31" t="n">
        <f aca="false">SUM(E12:E15)</f>
        <v>46973</v>
      </c>
      <c r="F16" s="31" t="n">
        <f aca="false">SUM(F12:F15)</f>
        <v>48255</v>
      </c>
      <c r="G16" s="31" t="n">
        <f aca="false">SUM(G12:G15)</f>
        <v>47279</v>
      </c>
      <c r="H16" s="2" t="s">
        <v>156</v>
      </c>
    </row>
    <row r="17" customFormat="false" ht="15" hidden="false" customHeight="false" outlineLevel="0" collapsed="false">
      <c r="A17" s="3" t="s">
        <v>157</v>
      </c>
      <c r="B17" s="4"/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8" t="s">
        <v>158</v>
      </c>
      <c r="B18" s="13" t="n">
        <v>1.99</v>
      </c>
      <c r="C18" s="13" t="n">
        <v>3.02</v>
      </c>
      <c r="D18" s="13" t="n">
        <v>3.07</v>
      </c>
      <c r="E18" s="13" t="n">
        <v>3.58</v>
      </c>
      <c r="F18" s="13" t="n">
        <v>3.52</v>
      </c>
      <c r="G18" s="13" t="n">
        <v>2.5</v>
      </c>
      <c r="H18" s="2" t="s">
        <v>159</v>
      </c>
    </row>
    <row r="19" customFormat="false" ht="15" hidden="false" customHeight="false" outlineLevel="0" collapsed="false">
      <c r="A19" s="8" t="s">
        <v>160</v>
      </c>
      <c r="B19" s="13" t="n">
        <v>96.96</v>
      </c>
      <c r="C19" s="13" t="n">
        <v>85.4</v>
      </c>
      <c r="D19" s="13" t="n">
        <v>82.84</v>
      </c>
      <c r="E19" s="13" t="n">
        <v>76.66</v>
      </c>
      <c r="F19" s="13" t="n">
        <v>96.27</v>
      </c>
      <c r="G19" s="13" t="n">
        <v>126.96</v>
      </c>
      <c r="H19" s="2" t="s">
        <v>161</v>
      </c>
    </row>
    <row r="20" customFormat="false" ht="15" hidden="false" customHeight="false" outlineLevel="0" collapsed="false">
      <c r="A20" s="8" t="s">
        <v>162</v>
      </c>
      <c r="B20" s="13" t="n">
        <v>35.37</v>
      </c>
      <c r="C20" s="13" t="n">
        <v>30.46</v>
      </c>
      <c r="D20" s="13" t="n">
        <v>27.02</v>
      </c>
      <c r="E20" s="13" t="n">
        <v>27.15</v>
      </c>
      <c r="F20" s="13" t="n">
        <v>30.61</v>
      </c>
      <c r="G20" s="13" t="n">
        <v>38.5</v>
      </c>
    </row>
    <row r="21" customFormat="false" ht="15" hidden="false" customHeight="false" outlineLevel="0" collapsed="false">
      <c r="A21" s="3" t="s">
        <v>163</v>
      </c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8" t="s">
        <v>164</v>
      </c>
      <c r="B22" s="13" t="n">
        <v>48.83</v>
      </c>
      <c r="C22" s="13" t="n">
        <v>47.77</v>
      </c>
      <c r="D22" s="13" t="n">
        <v>44.2</v>
      </c>
      <c r="E22" s="13" t="n">
        <v>45.92</v>
      </c>
      <c r="F22" s="13" t="n">
        <v>52.65</v>
      </c>
      <c r="G22" s="13" t="n">
        <v>60.59</v>
      </c>
    </row>
    <row r="23" customFormat="false" ht="15" hidden="false" customHeight="false" outlineLevel="0" collapsed="false">
      <c r="A23" s="8" t="s">
        <v>165</v>
      </c>
      <c r="B23" s="13" t="n">
        <v>-6.18</v>
      </c>
      <c r="C23" s="13" t="n">
        <v>-3.31</v>
      </c>
      <c r="D23" s="13" t="n">
        <v>-2</v>
      </c>
      <c r="E23" s="13" t="n">
        <v>-2.61</v>
      </c>
      <c r="F23" s="13" t="n">
        <v>-2.9</v>
      </c>
      <c r="G23" s="13" t="n">
        <v>-3.25</v>
      </c>
      <c r="H23" s="2" t="s">
        <v>166</v>
      </c>
    </row>
    <row r="24" customFormat="false" ht="15" hidden="false" customHeight="false" outlineLevel="0" collapsed="false">
      <c r="A24" s="8" t="s">
        <v>167</v>
      </c>
      <c r="B24" s="13" t="n">
        <v>-13.15</v>
      </c>
      <c r="C24" s="13" t="n">
        <v>-11.66</v>
      </c>
      <c r="D24" s="13" t="n">
        <v>-12.39</v>
      </c>
      <c r="E24" s="13" t="n">
        <v>-9.84</v>
      </c>
      <c r="F24" s="13" t="n">
        <v>-9.81</v>
      </c>
      <c r="G24" s="13" t="n">
        <v>-8.66</v>
      </c>
      <c r="H24" s="2" t="s">
        <v>168</v>
      </c>
    </row>
    <row r="25" customFormat="false" ht="15" hidden="false" customHeight="false" outlineLevel="0" collapsed="false">
      <c r="A25" s="8" t="s">
        <v>169</v>
      </c>
      <c r="B25" s="13" t="n">
        <v>-3.76</v>
      </c>
      <c r="C25" s="13" t="n">
        <v>-4.47</v>
      </c>
      <c r="D25" s="13" t="n">
        <v>-4.57</v>
      </c>
      <c r="E25" s="13" t="n">
        <v>-4.81</v>
      </c>
      <c r="F25" s="13" t="n">
        <v>-4.83</v>
      </c>
      <c r="G25" s="13" t="n">
        <v>-4.75</v>
      </c>
    </row>
    <row r="26" customFormat="false" ht="15" hidden="false" customHeight="false" outlineLevel="0" collapsed="false">
      <c r="A26" s="8" t="s">
        <v>170</v>
      </c>
      <c r="B26" s="13" t="n">
        <v>0.15</v>
      </c>
      <c r="C26" s="13" t="n">
        <v>0.33</v>
      </c>
      <c r="D26" s="13" t="n">
        <v>0.11</v>
      </c>
      <c r="E26" s="13" t="n">
        <v>0.26</v>
      </c>
      <c r="F26" s="13" t="n">
        <v>0.11</v>
      </c>
      <c r="G26" s="13" t="n">
        <v>0.24</v>
      </c>
      <c r="H26" s="2" t="s">
        <v>171</v>
      </c>
    </row>
    <row r="27" customFormat="false" ht="15" hidden="false" customHeight="false" outlineLevel="0" collapsed="false">
      <c r="A27" s="5" t="s">
        <v>172</v>
      </c>
      <c r="B27" s="32" t="n">
        <f aca="false">SUM(B22:B26)</f>
        <v>25.89</v>
      </c>
      <c r="C27" s="32" t="n">
        <f aca="false">SUM(C22:C26)</f>
        <v>28.66</v>
      </c>
      <c r="D27" s="32" t="n">
        <f aca="false">SUM(D22:D26)</f>
        <v>25.35</v>
      </c>
      <c r="E27" s="32" t="n">
        <f aca="false">SUM(E22:E26)</f>
        <v>28.92</v>
      </c>
      <c r="F27" s="32" t="n">
        <f aca="false">SUM(F22:F26)</f>
        <v>35.22</v>
      </c>
      <c r="G27" s="32" t="n">
        <f aca="false">SUM(G22:G26)</f>
        <v>44.17</v>
      </c>
      <c r="H27" s="2" t="s">
        <v>173</v>
      </c>
    </row>
    <row r="28" customFormat="false" ht="15" hidden="false" customHeight="false" outlineLevel="0" collapsed="false">
      <c r="A28" s="8" t="s">
        <v>174</v>
      </c>
      <c r="B28" s="13" t="n">
        <v>1.01</v>
      </c>
      <c r="C28" s="13" t="n">
        <v>3.3</v>
      </c>
      <c r="D28" s="13" t="n">
        <v>5.16</v>
      </c>
      <c r="E28" s="13" t="n">
        <v>4.73</v>
      </c>
      <c r="F28" s="13" t="n">
        <v>-0.46</v>
      </c>
      <c r="G28" s="13" t="n">
        <v>-2.48</v>
      </c>
    </row>
    <row r="29" customFormat="false" ht="15" hidden="false" customHeight="false" outlineLevel="0" collapsed="false">
      <c r="A29" s="5" t="s">
        <v>175</v>
      </c>
      <c r="B29" s="32" t="n">
        <f aca="false">B27+B28</f>
        <v>26.9</v>
      </c>
      <c r="C29" s="32" t="n">
        <f aca="false">C27+C28</f>
        <v>31.96</v>
      </c>
      <c r="D29" s="32" t="n">
        <f aca="false">D27+D28</f>
        <v>30.51</v>
      </c>
      <c r="E29" s="32" t="n">
        <f aca="false">E27+E28</f>
        <v>33.65</v>
      </c>
      <c r="F29" s="32" t="n">
        <f aca="false">F27+F28</f>
        <v>34.76</v>
      </c>
      <c r="G29" s="32" t="n">
        <f aca="false">G27+G28</f>
        <v>41.69</v>
      </c>
    </row>
    <row r="30" customFormat="false" ht="15" hidden="false" customHeight="false" outlineLevel="0" collapsed="false">
      <c r="A30" s="3" t="s">
        <v>176</v>
      </c>
      <c r="B30" s="4"/>
      <c r="C30" s="4"/>
      <c r="D30" s="4"/>
      <c r="E30" s="4"/>
      <c r="F30" s="4"/>
      <c r="G30" s="4"/>
      <c r="H30" s="4"/>
    </row>
    <row r="31" customFormat="false" ht="15" hidden="false" customHeight="false" outlineLevel="0" collapsed="false">
      <c r="A31" s="8" t="s">
        <v>177</v>
      </c>
      <c r="B31" s="28" t="s">
        <v>130</v>
      </c>
      <c r="C31" s="13" t="n">
        <v>6.26</v>
      </c>
      <c r="D31" s="28" t="s">
        <v>130</v>
      </c>
      <c r="E31" s="13" t="n">
        <v>4.71</v>
      </c>
      <c r="F31" s="28" t="s">
        <v>130</v>
      </c>
      <c r="G31" s="28" t="s">
        <v>130</v>
      </c>
      <c r="H31" s="2" t="s">
        <v>178</v>
      </c>
    </row>
    <row r="33" customFormat="false" ht="15" hidden="false" customHeight="false" outlineLevel="0" collapsed="false">
      <c r="A33" s="3" t="s">
        <v>179</v>
      </c>
      <c r="B33" s="4"/>
      <c r="C33" s="4"/>
      <c r="D33" s="4"/>
      <c r="E33" s="4"/>
      <c r="F33" s="4"/>
      <c r="G33" s="4"/>
      <c r="H33" s="4"/>
    </row>
    <row r="34" customFormat="false" ht="15" hidden="false" customHeight="false" outlineLevel="0" collapsed="false">
      <c r="A34" s="5" t="s">
        <v>180</v>
      </c>
      <c r="B34" s="15" t="n">
        <f aca="false">B29*B9*365/1000000</f>
        <v>966.978245333333</v>
      </c>
      <c r="C34" s="15" t="n">
        <f aca="false">C29*C9*365/1000000</f>
        <v>492.727053666667</v>
      </c>
      <c r="D34" s="15" t="n">
        <f aca="false">D29*D9*365/1000000</f>
        <v>352.3329378</v>
      </c>
      <c r="E34" s="15" t="n">
        <f aca="false">E29*E9*365/1000000</f>
        <v>576.938223333333</v>
      </c>
      <c r="F34" s="15" t="n">
        <f aca="false">F29*F9*365/1000000</f>
        <v>612.260090933333</v>
      </c>
      <c r="G34" s="15" t="n">
        <f aca="false">G29*G9*365/1000000</f>
        <v>719.523679966667</v>
      </c>
      <c r="H34" s="2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  <col collapsed="false" customWidth="true" hidden="false" outlineLevel="0" max="5" min="5" style="0" width="4"/>
    <col collapsed="false" customWidth="true" hidden="false" outlineLevel="0" max="6" min="6" style="0" width="54"/>
  </cols>
  <sheetData>
    <row r="1" customFormat="false" ht="17.35" hidden="false" customHeight="false" outlineLevel="0" collapsed="false">
      <c r="A1" s="1" t="s">
        <v>182</v>
      </c>
    </row>
    <row r="2" customFormat="false" ht="15" hidden="false" customHeight="false" outlineLevel="0" collapsed="false">
      <c r="A2" s="2" t="s">
        <v>183</v>
      </c>
    </row>
    <row r="4" customFormat="false" ht="15" hidden="false" customHeight="false" outlineLevel="0" collapsed="false">
      <c r="A4" s="3" t="s">
        <v>184</v>
      </c>
      <c r="B4" s="4"/>
      <c r="C4" s="4"/>
      <c r="D4" s="4"/>
    </row>
    <row r="5" customFormat="false" ht="15" hidden="false" customHeight="false" outlineLevel="0" collapsed="false">
      <c r="A5" s="19"/>
      <c r="B5" s="20" t="s">
        <v>185</v>
      </c>
      <c r="C5" s="20" t="s">
        <v>186</v>
      </c>
      <c r="D5" s="20" t="s">
        <v>187</v>
      </c>
    </row>
    <row r="6" customFormat="false" ht="15" hidden="false" customHeight="false" outlineLevel="0" collapsed="false">
      <c r="A6" s="8" t="s">
        <v>188</v>
      </c>
      <c r="B6" s="30" t="n">
        <v>202</v>
      </c>
      <c r="C6" s="30" t="n">
        <v>611</v>
      </c>
      <c r="D6" s="30" t="n">
        <v>2094</v>
      </c>
    </row>
    <row r="7" customFormat="false" ht="15" hidden="false" customHeight="false" outlineLevel="0" collapsed="false">
      <c r="A7" s="8" t="s">
        <v>189</v>
      </c>
      <c r="B7" s="30" t="n">
        <v>23492</v>
      </c>
      <c r="C7" s="30" t="n">
        <v>95890</v>
      </c>
      <c r="D7" s="30" t="n">
        <v>168336</v>
      </c>
    </row>
    <row r="8" customFormat="false" ht="15" hidden="false" customHeight="false" outlineLevel="0" collapsed="false">
      <c r="A8" s="8" t="s">
        <v>190</v>
      </c>
      <c r="B8" s="30" t="n">
        <v>1988</v>
      </c>
      <c r="C8" s="30" t="n">
        <v>2290</v>
      </c>
      <c r="D8" s="30" t="n">
        <v>4243</v>
      </c>
    </row>
    <row r="9" customFormat="false" ht="15" hidden="false" customHeight="false" outlineLevel="0" collapsed="false">
      <c r="A9" s="5" t="s">
        <v>191</v>
      </c>
      <c r="B9" s="31" t="n">
        <f aca="false">B6*1000/6+B7+B8</f>
        <v>59146.6666666667</v>
      </c>
      <c r="C9" s="31" t="n">
        <f aca="false">C6*1000/6+C7+C8</f>
        <v>200013.333333333</v>
      </c>
      <c r="D9" s="31" t="n">
        <f aca="false">D6*1000/6+D7+D8</f>
        <v>521579</v>
      </c>
      <c r="F9" s="2" t="s">
        <v>192</v>
      </c>
    </row>
    <row r="10" customFormat="false" ht="15" hidden="false" customHeight="false" outlineLevel="0" collapsed="false">
      <c r="A10" s="8" t="s">
        <v>149</v>
      </c>
      <c r="B10" s="25" t="n">
        <f aca="false">(B7+B8)/B9</f>
        <v>0.430793507664563</v>
      </c>
      <c r="C10" s="25" t="n">
        <f aca="false">(C7+C8)/C9</f>
        <v>0.490867275514966</v>
      </c>
      <c r="D10" s="25" t="n">
        <f aca="false">(D7+D8)/D9</f>
        <v>0.330877968629872</v>
      </c>
      <c r="F10" s="2" t="s">
        <v>193</v>
      </c>
    </row>
    <row r="12" customFormat="false" ht="15" hidden="false" customHeight="false" outlineLevel="0" collapsed="false">
      <c r="A12" s="3" t="s">
        <v>194</v>
      </c>
      <c r="B12" s="4"/>
      <c r="C12" s="4"/>
      <c r="D12" s="4"/>
    </row>
    <row r="13" customFormat="false" ht="15" hidden="false" customHeight="false" outlineLevel="0" collapsed="false">
      <c r="A13" s="19"/>
      <c r="B13" s="20" t="s">
        <v>195</v>
      </c>
      <c r="C13" s="20" t="s">
        <v>196</v>
      </c>
      <c r="D13" s="20" t="s">
        <v>197</v>
      </c>
    </row>
    <row r="14" customFormat="false" ht="15" hidden="false" customHeight="false" outlineLevel="0" collapsed="false">
      <c r="A14" s="5" t="s">
        <v>186</v>
      </c>
    </row>
    <row r="15" customFormat="false" ht="15" hidden="false" customHeight="false" outlineLevel="0" collapsed="false">
      <c r="A15" s="8" t="s">
        <v>198</v>
      </c>
      <c r="B15" s="30" t="n">
        <v>70266</v>
      </c>
      <c r="C15" s="16" t="n">
        <v>357</v>
      </c>
      <c r="D15" s="16" t="n">
        <v>729</v>
      </c>
    </row>
    <row r="16" customFormat="false" ht="15" hidden="false" customHeight="false" outlineLevel="0" collapsed="false">
      <c r="A16" s="8" t="s">
        <v>199</v>
      </c>
      <c r="B16" s="30" t="n">
        <v>129723</v>
      </c>
      <c r="C16" s="16" t="n">
        <v>2485</v>
      </c>
      <c r="D16" s="16" t="n">
        <v>950</v>
      </c>
    </row>
    <row r="17" customFormat="false" ht="15" hidden="false" customHeight="false" outlineLevel="0" collapsed="false">
      <c r="A17" s="5" t="s">
        <v>200</v>
      </c>
      <c r="B17" s="31" t="n">
        <f aca="false">SUM(B15:B16)</f>
        <v>199989</v>
      </c>
      <c r="C17" s="18" t="n">
        <f aca="false">SUM(C15:C16)</f>
        <v>2842</v>
      </c>
      <c r="D17" s="18" t="n">
        <f aca="false">SUM(D15:D16)</f>
        <v>1679</v>
      </c>
    </row>
    <row r="18" customFormat="false" ht="15" hidden="false" customHeight="false" outlineLevel="0" collapsed="false">
      <c r="A18" s="5" t="s">
        <v>201</v>
      </c>
    </row>
    <row r="19" customFormat="false" ht="15" hidden="false" customHeight="false" outlineLevel="0" collapsed="false">
      <c r="A19" s="8" t="s">
        <v>198</v>
      </c>
      <c r="B19" s="30" t="n">
        <v>96568</v>
      </c>
      <c r="C19" s="16" t="n">
        <v>929</v>
      </c>
      <c r="D19" s="16" t="n">
        <v>972</v>
      </c>
    </row>
    <row r="20" customFormat="false" ht="15" hidden="false" customHeight="false" outlineLevel="0" collapsed="false">
      <c r="A20" s="8" t="s">
        <v>199</v>
      </c>
      <c r="B20" s="30" t="n">
        <v>424951</v>
      </c>
      <c r="C20" s="16" t="n">
        <v>7401</v>
      </c>
      <c r="D20" s="16" t="n">
        <v>2278</v>
      </c>
    </row>
    <row r="21" customFormat="false" ht="15" hidden="false" customHeight="false" outlineLevel="0" collapsed="false">
      <c r="A21" s="5" t="s">
        <v>202</v>
      </c>
      <c r="B21" s="31" t="n">
        <f aca="false">SUM(B19:B20)</f>
        <v>521519</v>
      </c>
      <c r="C21" s="18" t="n">
        <f aca="false">SUM(C19:C20)</f>
        <v>8330</v>
      </c>
      <c r="D21" s="18" t="n">
        <f aca="false">SUM(D19:D20)</f>
        <v>3250</v>
      </c>
      <c r="F21" s="2" t="s">
        <v>203</v>
      </c>
    </row>
    <row r="23" customFormat="false" ht="15" hidden="false" customHeight="false" outlineLevel="0" collapsed="false">
      <c r="A23" s="3" t="s">
        <v>204</v>
      </c>
      <c r="B23" s="4"/>
      <c r="C23" s="4"/>
      <c r="D23" s="4"/>
    </row>
    <row r="24" customFormat="false" ht="15" hidden="false" customHeight="false" outlineLevel="0" collapsed="false">
      <c r="A24" s="5" t="s">
        <v>205</v>
      </c>
      <c r="B24" s="33" t="n">
        <f aca="false">D21</f>
        <v>3250</v>
      </c>
    </row>
    <row r="25" customFormat="false" ht="15" hidden="false" customHeight="false" outlineLevel="0" collapsed="false">
      <c r="A25" s="5" t="s">
        <v>206</v>
      </c>
      <c r="B25" s="33" t="n">
        <f aca="false">-Snapshot!B16</f>
        <v>329.1</v>
      </c>
    </row>
    <row r="26" customFormat="false" ht="15" hidden="false" customHeight="false" outlineLevel="0" collapsed="false">
      <c r="A26" s="5" t="s">
        <v>207</v>
      </c>
      <c r="B26" s="18" t="n">
        <f aca="false">SUM(B24:B25)</f>
        <v>3579.1</v>
      </c>
    </row>
    <row r="27" customFormat="false" ht="15" hidden="false" customHeight="false" outlineLevel="0" collapsed="false">
      <c r="A27" s="5" t="s">
        <v>208</v>
      </c>
      <c r="B27" s="34" t="n">
        <f aca="false">Snapshot!B10</f>
        <v>145.8</v>
      </c>
    </row>
    <row r="28" customFormat="false" ht="15" hidden="false" customHeight="false" outlineLevel="0" collapsed="false">
      <c r="A28" s="5" t="s">
        <v>209</v>
      </c>
      <c r="B28" s="32" t="n">
        <f aca="false">B26/B27</f>
        <v>24.5480109739369</v>
      </c>
      <c r="F28" s="2" t="s">
        <v>210</v>
      </c>
    </row>
    <row r="29" customFormat="false" ht="15" hidden="false" customHeight="false" outlineLevel="0" collapsed="false">
      <c r="A29" s="5" t="s">
        <v>211</v>
      </c>
      <c r="B29" s="35" t="n">
        <f aca="false">Snapshot!B6</f>
        <v>32.65</v>
      </c>
    </row>
    <row r="30" customFormat="false" ht="15" hidden="false" customHeight="false" outlineLevel="0" collapsed="false">
      <c r="A30" s="5" t="s">
        <v>212</v>
      </c>
      <c r="B30" s="36" t="n">
        <f aca="false">B29/B28</f>
        <v>1.3300466597748</v>
      </c>
      <c r="F30" s="24" t="s">
        <v>213</v>
      </c>
    </row>
    <row r="32" customFormat="false" ht="15" hidden="false" customHeight="false" outlineLevel="0" collapsed="false">
      <c r="A32" s="3" t="s">
        <v>214</v>
      </c>
      <c r="B32" s="4"/>
      <c r="C32" s="4"/>
      <c r="D32" s="4"/>
    </row>
    <row r="33" customFormat="false" ht="15" hidden="false" customHeight="false" outlineLevel="0" collapsed="false">
      <c r="A33" s="19"/>
      <c r="B33" s="20" t="s">
        <v>185</v>
      </c>
      <c r="C33" s="20" t="s">
        <v>215</v>
      </c>
      <c r="D33" s="20" t="s">
        <v>216</v>
      </c>
    </row>
    <row r="34" customFormat="false" ht="15" hidden="false" customHeight="false" outlineLevel="0" collapsed="false">
      <c r="A34" s="8" t="s">
        <v>217</v>
      </c>
      <c r="B34" s="14" t="n">
        <v>4.5</v>
      </c>
      <c r="C34" s="14" t="n">
        <v>15.2</v>
      </c>
      <c r="D34" s="14" t="n">
        <v>39.5</v>
      </c>
      <c r="F34" s="2" t="s">
        <v>218</v>
      </c>
    </row>
    <row r="35" customFormat="false" ht="15" hidden="false" customHeight="false" outlineLevel="0" collapsed="false">
      <c r="A35" s="8" t="s">
        <v>219</v>
      </c>
      <c r="B35" s="13" t="n">
        <v>24.42</v>
      </c>
      <c r="C35" s="13" t="n">
        <v>24.15</v>
      </c>
      <c r="D35" s="13" t="n">
        <v>11.67</v>
      </c>
      <c r="F35" s="2" t="s">
        <v>220</v>
      </c>
    </row>
    <row r="36" customFormat="false" ht="15" hidden="false" customHeight="false" outlineLevel="0" collapsed="false">
      <c r="A36" s="8" t="s">
        <v>221</v>
      </c>
      <c r="B36" s="37" t="n">
        <v>1.2</v>
      </c>
      <c r="C36" s="37" t="n">
        <v>1.2</v>
      </c>
      <c r="D36" s="37" t="n">
        <v>2.5</v>
      </c>
      <c r="F36" s="2" t="s">
        <v>222</v>
      </c>
    </row>
    <row r="37" customFormat="false" ht="15" hidden="false" customHeight="false" outlineLevel="0" collapsed="false">
      <c r="A37" s="8" t="s">
        <v>223</v>
      </c>
      <c r="B37" s="37" t="n">
        <v>2.4</v>
      </c>
      <c r="C37" s="37" t="n">
        <v>5.2</v>
      </c>
      <c r="D37" s="37" t="n">
        <v>21.7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5"/>
    <col collapsed="false" customWidth="true" hidden="false" outlineLevel="0" max="5" min="5" style="0" width="4"/>
    <col collapsed="false" customWidth="true" hidden="false" outlineLevel="0" max="6" min="6" style="0" width="58"/>
  </cols>
  <sheetData>
    <row r="1" customFormat="false" ht="17.35" hidden="false" customHeight="false" outlineLevel="0" collapsed="false">
      <c r="A1" s="1" t="s">
        <v>224</v>
      </c>
    </row>
    <row r="2" customFormat="false" ht="15" hidden="false" customHeight="false" outlineLevel="0" collapsed="false">
      <c r="A2" s="2" t="s">
        <v>225</v>
      </c>
    </row>
    <row r="4" customFormat="false" ht="15" hidden="false" customHeight="false" outlineLevel="0" collapsed="false">
      <c r="A4" s="3" t="s">
        <v>226</v>
      </c>
      <c r="B4" s="4"/>
      <c r="C4" s="4"/>
      <c r="D4" s="4"/>
    </row>
    <row r="5" customFormat="false" ht="15" hidden="false" customHeight="false" outlineLevel="0" collapsed="false">
      <c r="A5" s="19"/>
      <c r="B5" s="20" t="s">
        <v>227</v>
      </c>
      <c r="C5" s="20" t="s">
        <v>228</v>
      </c>
      <c r="D5" s="20" t="s">
        <v>229</v>
      </c>
    </row>
    <row r="6" customFormat="false" ht="15" hidden="false" customHeight="false" outlineLevel="0" collapsed="false">
      <c r="A6" s="8" t="s">
        <v>230</v>
      </c>
      <c r="B6" s="30" t="n">
        <v>50000</v>
      </c>
      <c r="C6" s="30" t="n">
        <v>53000</v>
      </c>
      <c r="D6" s="38" t="n">
        <f aca="false">AVERAGE(B6:C6)</f>
        <v>51500</v>
      </c>
      <c r="F6" s="2" t="s">
        <v>231</v>
      </c>
    </row>
    <row r="7" customFormat="false" ht="15" hidden="false" customHeight="false" outlineLevel="0" collapsed="false">
      <c r="A7" s="8" t="s">
        <v>232</v>
      </c>
      <c r="B7" s="30" t="n">
        <v>60000</v>
      </c>
      <c r="C7" s="30" t="n">
        <v>63000</v>
      </c>
      <c r="D7" s="38" t="n">
        <f aca="false">AVERAGE(B7:C7)</f>
        <v>61500</v>
      </c>
      <c r="F7" s="2" t="s">
        <v>233</v>
      </c>
    </row>
    <row r="8" customFormat="false" ht="15" hidden="false" customHeight="false" outlineLevel="0" collapsed="false">
      <c r="A8" s="8" t="s">
        <v>234</v>
      </c>
      <c r="B8" s="30" t="n">
        <v>51000</v>
      </c>
      <c r="C8" s="30" t="n">
        <v>53000</v>
      </c>
      <c r="D8" s="38" t="n">
        <f aca="false">AVERAGE(B8:C8)</f>
        <v>52000</v>
      </c>
      <c r="F8" s="2" t="s">
        <v>235</v>
      </c>
    </row>
    <row r="9" customFormat="false" ht="15" hidden="false" customHeight="false" outlineLevel="0" collapsed="false">
      <c r="A9" s="8" t="s">
        <v>236</v>
      </c>
      <c r="B9" s="16" t="n">
        <v>1000</v>
      </c>
      <c r="C9" s="16" t="n">
        <v>1100</v>
      </c>
      <c r="D9" s="15" t="n">
        <f aca="false">AVERAGE(B9:C9)</f>
        <v>1050</v>
      </c>
      <c r="F9" s="2" t="s">
        <v>237</v>
      </c>
    </row>
    <row r="10" customFormat="false" ht="15" hidden="false" customHeight="false" outlineLevel="0" collapsed="false">
      <c r="A10" s="8" t="s">
        <v>238</v>
      </c>
      <c r="B10" s="16" t="n">
        <v>35</v>
      </c>
      <c r="C10" s="16" t="n">
        <v>35</v>
      </c>
      <c r="D10" s="15" t="n">
        <f aca="false">AVERAGE(B10:C10)</f>
        <v>35</v>
      </c>
      <c r="F10" s="2"/>
    </row>
    <row r="12" customFormat="false" ht="15" hidden="false" customHeight="false" outlineLevel="0" collapsed="false">
      <c r="A12" s="3" t="s">
        <v>239</v>
      </c>
      <c r="B12" s="4"/>
      <c r="C12" s="4"/>
      <c r="D12" s="4"/>
    </row>
    <row r="13" customFormat="false" ht="15" hidden="false" customHeight="false" outlineLevel="0" collapsed="false">
      <c r="A13" s="8" t="s">
        <v>240</v>
      </c>
      <c r="B13" s="30" t="n">
        <v>60000</v>
      </c>
      <c r="C13" s="30" t="n">
        <v>65000</v>
      </c>
      <c r="D13" s="38" t="n">
        <f aca="false">AVERAGE(B13:C13)</f>
        <v>62500</v>
      </c>
      <c r="F13" s="2" t="s">
        <v>241</v>
      </c>
    </row>
    <row r="14" customFormat="false" ht="15" hidden="false" customHeight="false" outlineLevel="0" collapsed="false">
      <c r="A14" s="8" t="s">
        <v>242</v>
      </c>
      <c r="B14" s="30" t="n">
        <v>100000</v>
      </c>
      <c r="C14" s="30" t="n">
        <v>100000</v>
      </c>
      <c r="D14" s="38" t="n">
        <f aca="false">AVERAGE(B14:C14)</f>
        <v>100000</v>
      </c>
      <c r="F14" s="2" t="s">
        <v>243</v>
      </c>
    </row>
    <row r="15" customFormat="false" ht="15" hidden="false" customHeight="false" outlineLevel="0" collapsed="false">
      <c r="A15" s="8" t="s">
        <v>244</v>
      </c>
      <c r="B15" s="16" t="n">
        <v>1000</v>
      </c>
      <c r="C15" s="16" t="n">
        <v>1000</v>
      </c>
      <c r="D15" s="15" t="n">
        <f aca="false">AVERAGE(B15:C15)</f>
        <v>1000</v>
      </c>
      <c r="F15" s="2" t="s">
        <v>245</v>
      </c>
    </row>
    <row r="17" customFormat="false" ht="15" hidden="false" customHeight="false" outlineLevel="0" collapsed="false">
      <c r="A17" s="3" t="s">
        <v>246</v>
      </c>
      <c r="B17" s="4"/>
      <c r="C17" s="4"/>
      <c r="D17" s="4"/>
    </row>
    <row r="18" customFormat="false" ht="15" hidden="false" customHeight="false" outlineLevel="0" collapsed="false">
      <c r="A18" s="19"/>
      <c r="B18" s="20" t="s">
        <v>247</v>
      </c>
      <c r="C18" s="20" t="s">
        <v>248</v>
      </c>
      <c r="D18" s="21"/>
    </row>
    <row r="19" customFormat="false" ht="15" hidden="false" customHeight="false" outlineLevel="0" collapsed="false">
      <c r="A19" s="8" t="s">
        <v>116</v>
      </c>
      <c r="B19" s="16" t="n">
        <v>630</v>
      </c>
      <c r="C19" s="16" t="n">
        <v>440</v>
      </c>
      <c r="F19" s="2" t="s">
        <v>249</v>
      </c>
    </row>
    <row r="20" customFormat="false" ht="15" hidden="false" customHeight="false" outlineLevel="0" collapsed="false">
      <c r="A20" s="8" t="s">
        <v>117</v>
      </c>
      <c r="B20" s="16" t="n">
        <v>360</v>
      </c>
      <c r="C20" s="16" t="n">
        <v>440</v>
      </c>
      <c r="F20" s="2" t="s">
        <v>250</v>
      </c>
    </row>
    <row r="21" customFormat="false" ht="15" hidden="false" customHeight="false" outlineLevel="0" collapsed="false">
      <c r="A21" s="8" t="s">
        <v>251</v>
      </c>
      <c r="B21" s="16" t="n">
        <v>110</v>
      </c>
      <c r="C21" s="16" t="n">
        <v>120</v>
      </c>
      <c r="F21" s="2" t="s">
        <v>252</v>
      </c>
    </row>
    <row r="22" customFormat="false" ht="15" hidden="false" customHeight="false" outlineLevel="0" collapsed="false">
      <c r="A22" s="5" t="s">
        <v>253</v>
      </c>
      <c r="B22" s="18" t="n">
        <f aca="false">SUM(B19:B21)</f>
        <v>1100</v>
      </c>
      <c r="C22" s="18" t="n">
        <f aca="false">SUM(C19:C21)</f>
        <v>1000</v>
      </c>
    </row>
    <row r="24" customFormat="false" ht="15" hidden="false" customHeight="false" outlineLevel="0" collapsed="false">
      <c r="A24" s="3" t="s">
        <v>254</v>
      </c>
      <c r="B24" s="4"/>
      <c r="C24" s="4"/>
      <c r="D24" s="4"/>
    </row>
    <row r="25" customFormat="false" ht="15" hidden="false" customHeight="false" outlineLevel="0" collapsed="false">
      <c r="A25" s="19"/>
      <c r="B25" s="20" t="s">
        <v>255</v>
      </c>
      <c r="C25" s="20" t="s">
        <v>256</v>
      </c>
      <c r="D25" s="21"/>
    </row>
    <row r="26" customFormat="false" ht="27.75" hidden="false" customHeight="true" outlineLevel="0" collapsed="false">
      <c r="A26" s="5" t="s">
        <v>257</v>
      </c>
      <c r="B26" s="39" t="n">
        <v>700</v>
      </c>
      <c r="C26" s="39" t="n">
        <v>950</v>
      </c>
      <c r="F26" s="17" t="s">
        <v>258</v>
      </c>
    </row>
    <row r="27" customFormat="false" ht="15" hidden="false" customHeight="false" outlineLevel="0" collapsed="false">
      <c r="A27" s="8" t="s">
        <v>259</v>
      </c>
      <c r="B27" s="33" t="n">
        <f aca="false">-B22</f>
        <v>-1100</v>
      </c>
      <c r="C27" s="33" t="n">
        <f aca="false">-C22</f>
        <v>-1000</v>
      </c>
    </row>
    <row r="28" customFormat="false" ht="15" hidden="false" customHeight="false" outlineLevel="0" collapsed="false">
      <c r="A28" s="8" t="s">
        <v>260</v>
      </c>
      <c r="B28" s="16" t="n">
        <v>-35</v>
      </c>
      <c r="C28" s="16" t="n">
        <v>-35</v>
      </c>
    </row>
    <row r="29" customFormat="false" ht="15" hidden="false" customHeight="false" outlineLevel="0" collapsed="false">
      <c r="A29" s="5" t="s">
        <v>261</v>
      </c>
      <c r="B29" s="18" t="n">
        <f aca="false">SUM(B26:B28)</f>
        <v>-435</v>
      </c>
      <c r="C29" s="18" t="n">
        <f aca="false">SUM(C26:C28)</f>
        <v>-85</v>
      </c>
    </row>
    <row r="30" customFormat="false" ht="15" hidden="false" customHeight="false" outlineLevel="0" collapsed="false">
      <c r="A30" s="8" t="s">
        <v>262</v>
      </c>
      <c r="B30" s="33" t="n">
        <f aca="false">-0.6*Snapshot!B10</f>
        <v>-87.48</v>
      </c>
      <c r="C30" s="33" t="n">
        <f aca="false">-0.6*Snapshot!B10</f>
        <v>-87.48</v>
      </c>
    </row>
    <row r="31" customFormat="false" ht="30" hidden="false" customHeight="true" outlineLevel="0" collapsed="false">
      <c r="A31" s="5" t="s">
        <v>263</v>
      </c>
      <c r="B31" s="40" t="n">
        <f aca="false">B29+B30</f>
        <v>-522.48</v>
      </c>
      <c r="C31" s="40" t="n">
        <f aca="false">B31+C29+C30</f>
        <v>-694.96</v>
      </c>
      <c r="F31" s="41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30"/>
  </cols>
  <sheetData>
    <row r="1" customFormat="false" ht="17.35" hidden="false" customHeight="false" outlineLevel="0" collapsed="false">
      <c r="A1" s="1" t="s">
        <v>265</v>
      </c>
    </row>
    <row r="2" customFormat="false" ht="15" hidden="false" customHeight="false" outlineLevel="0" collapsed="false">
      <c r="A2" s="2" t="s">
        <v>266</v>
      </c>
    </row>
    <row r="4" customFormat="false" ht="15" hidden="false" customHeight="false" outlineLevel="0" collapsed="false">
      <c r="A4" s="19"/>
      <c r="B4" s="42" t="s">
        <v>267</v>
      </c>
      <c r="C4" s="42" t="s">
        <v>268</v>
      </c>
      <c r="D4" s="42" t="s">
        <v>119</v>
      </c>
      <c r="E4" s="42" t="s">
        <v>269</v>
      </c>
    </row>
    <row r="5" customFormat="false" ht="43.5" hidden="false" customHeight="true" outlineLevel="0" collapsed="false">
      <c r="A5" s="5" t="s">
        <v>270</v>
      </c>
      <c r="B5" s="43" t="s">
        <v>271</v>
      </c>
      <c r="C5" s="43" t="s">
        <v>272</v>
      </c>
      <c r="D5" s="43" t="s">
        <v>273</v>
      </c>
      <c r="E5" s="43" t="s">
        <v>274</v>
      </c>
    </row>
    <row r="6" customFormat="false" ht="43.5" hidden="false" customHeight="true" outlineLevel="0" collapsed="false">
      <c r="A6" s="5" t="s">
        <v>275</v>
      </c>
      <c r="B6" s="43" t="s">
        <v>276</v>
      </c>
      <c r="C6" s="43" t="s">
        <v>277</v>
      </c>
      <c r="D6" s="43" t="s">
        <v>278</v>
      </c>
      <c r="E6" s="43" t="s">
        <v>279</v>
      </c>
    </row>
    <row r="7" customFormat="false" ht="43.5" hidden="false" customHeight="true" outlineLevel="0" collapsed="false">
      <c r="A7" s="5" t="s">
        <v>280</v>
      </c>
      <c r="B7" s="43" t="s">
        <v>281</v>
      </c>
      <c r="C7" s="43" t="s">
        <v>282</v>
      </c>
      <c r="D7" s="43" t="s">
        <v>283</v>
      </c>
      <c r="E7" s="43" t="s">
        <v>284</v>
      </c>
    </row>
    <row r="8" customFormat="false" ht="43.5" hidden="false" customHeight="true" outlineLevel="0" collapsed="false">
      <c r="A8" s="5" t="s">
        <v>285</v>
      </c>
      <c r="B8" s="43" t="s">
        <v>286</v>
      </c>
      <c r="C8" s="43" t="s">
        <v>287</v>
      </c>
      <c r="D8" s="43" t="s">
        <v>288</v>
      </c>
      <c r="E8" s="43" t="s">
        <v>289</v>
      </c>
    </row>
    <row r="9" customFormat="false" ht="43.5" hidden="false" customHeight="true" outlineLevel="0" collapsed="false">
      <c r="A9" s="5" t="s">
        <v>290</v>
      </c>
      <c r="B9" s="43" t="s">
        <v>291</v>
      </c>
      <c r="C9" s="43" t="s">
        <v>292</v>
      </c>
      <c r="D9" s="43" t="s">
        <v>293</v>
      </c>
      <c r="E9" s="43" t="s">
        <v>294</v>
      </c>
    </row>
    <row r="10" customFormat="false" ht="43.5" hidden="false" customHeight="true" outlineLevel="0" collapsed="false">
      <c r="A10" s="5" t="s">
        <v>295</v>
      </c>
      <c r="B10" s="43" t="s">
        <v>296</v>
      </c>
      <c r="C10" s="43" t="s">
        <v>297</v>
      </c>
      <c r="D10" s="43" t="s">
        <v>296</v>
      </c>
      <c r="E10" s="43" t="s">
        <v>130</v>
      </c>
    </row>
    <row r="11" customFormat="false" ht="43.5" hidden="false" customHeight="true" outlineLevel="0" collapsed="false">
      <c r="A11" s="5" t="s">
        <v>298</v>
      </c>
      <c r="B11" s="43" t="s">
        <v>299</v>
      </c>
      <c r="C11" s="43" t="s">
        <v>300</v>
      </c>
      <c r="D11" s="43" t="s">
        <v>301</v>
      </c>
      <c r="E11" s="43" t="s">
        <v>130</v>
      </c>
    </row>
    <row r="12" customFormat="false" ht="43.5" hidden="false" customHeight="true" outlineLevel="0" collapsed="false">
      <c r="A12" s="5" t="s">
        <v>302</v>
      </c>
      <c r="B12" s="43" t="s">
        <v>303</v>
      </c>
      <c r="C12" s="43" t="s">
        <v>304</v>
      </c>
      <c r="D12" s="43" t="s">
        <v>305</v>
      </c>
      <c r="E12" s="43" t="s">
        <v>130</v>
      </c>
    </row>
    <row r="13" customFormat="false" ht="43.5" hidden="false" customHeight="true" outlineLevel="0" collapsed="false">
      <c r="A13" s="5" t="s">
        <v>306</v>
      </c>
      <c r="B13" s="43" t="s">
        <v>307</v>
      </c>
      <c r="C13" s="43" t="s">
        <v>308</v>
      </c>
      <c r="D13" s="43" t="s">
        <v>309</v>
      </c>
      <c r="E13" s="43" t="s">
        <v>130</v>
      </c>
    </row>
    <row r="14" customFormat="false" ht="43.5" hidden="false" customHeight="true" outlineLevel="0" collapsed="false">
      <c r="A14" s="5" t="s">
        <v>310</v>
      </c>
      <c r="B14" s="43" t="s">
        <v>311</v>
      </c>
      <c r="C14" s="43" t="s">
        <v>312</v>
      </c>
      <c r="D14" s="43" t="s">
        <v>313</v>
      </c>
      <c r="E14" s="43" t="s">
        <v>314</v>
      </c>
    </row>
    <row r="16" customFormat="false" ht="15" hidden="false" customHeight="false" outlineLevel="0" collapsed="false">
      <c r="A16" s="3" t="s">
        <v>315</v>
      </c>
      <c r="B16" s="44" t="s">
        <v>316</v>
      </c>
      <c r="C16" s="44" t="s">
        <v>317</v>
      </c>
      <c r="D16" s="4"/>
      <c r="E16" s="4"/>
    </row>
    <row r="17" customFormat="false" ht="15" hidden="false" customHeight="false" outlineLevel="0" collapsed="false">
      <c r="A17" s="5" t="s">
        <v>318</v>
      </c>
      <c r="B17" s="30" t="n">
        <v>852</v>
      </c>
      <c r="C17" s="30" t="n">
        <v>704</v>
      </c>
    </row>
    <row r="18" customFormat="false" ht="15" hidden="false" customHeight="false" outlineLevel="0" collapsed="false">
      <c r="A18" s="5" t="s">
        <v>319</v>
      </c>
      <c r="B18" s="30" t="n">
        <v>3363</v>
      </c>
      <c r="C18" s="30" t="n">
        <v>2349</v>
      </c>
    </row>
    <row r="19" customFormat="false" ht="15" hidden="false" customHeight="false" outlineLevel="0" collapsed="false">
      <c r="A19" s="5" t="s">
        <v>253</v>
      </c>
      <c r="B19" s="31" t="n">
        <f aca="false">SUM(B17:B18)</f>
        <v>4215</v>
      </c>
      <c r="C19" s="31" t="n">
        <f aca="false">SUM(C17:C18)</f>
        <v>3053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320</v>
      </c>
    </row>
    <row r="2" customFormat="false" ht="15" hidden="false" customHeight="false" outlineLevel="0" collapsed="false">
      <c r="A2" s="2" t="s">
        <v>321</v>
      </c>
    </row>
    <row r="4" customFormat="false" ht="15" hidden="false" customHeight="false" outlineLevel="0" collapsed="false">
      <c r="A4" s="3" t="s">
        <v>322</v>
      </c>
      <c r="B4" s="4"/>
      <c r="C4" s="4"/>
      <c r="D4" s="4"/>
      <c r="E4" s="4"/>
    </row>
    <row r="5" customFormat="false" ht="15" hidden="false" customHeight="false" outlineLevel="0" collapsed="false">
      <c r="A5" s="19" t="s">
        <v>323</v>
      </c>
      <c r="B5" s="19" t="s">
        <v>324</v>
      </c>
      <c r="C5" s="19" t="s">
        <v>325</v>
      </c>
      <c r="D5" s="19" t="s">
        <v>326</v>
      </c>
      <c r="E5" s="19" t="s">
        <v>84</v>
      </c>
    </row>
    <row r="6" customFormat="false" ht="15" hidden="false" customHeight="false" outlineLevel="0" collapsed="false">
      <c r="A6" s="8" t="s">
        <v>327</v>
      </c>
      <c r="B6" s="7" t="s">
        <v>328</v>
      </c>
      <c r="C6" s="7" t="s">
        <v>329</v>
      </c>
      <c r="D6" s="8" t="s">
        <v>330</v>
      </c>
      <c r="E6" s="2" t="s">
        <v>331</v>
      </c>
    </row>
    <row r="7" customFormat="false" ht="15" hidden="false" customHeight="false" outlineLevel="0" collapsed="false">
      <c r="A7" s="8" t="s">
        <v>327</v>
      </c>
      <c r="B7" s="7" t="s">
        <v>332</v>
      </c>
      <c r="C7" s="7" t="s">
        <v>333</v>
      </c>
      <c r="D7" s="8" t="s">
        <v>334</v>
      </c>
      <c r="E7" s="2" t="s">
        <v>335</v>
      </c>
    </row>
    <row r="8" customFormat="false" ht="15" hidden="false" customHeight="false" outlineLevel="0" collapsed="false">
      <c r="A8" s="8" t="s">
        <v>336</v>
      </c>
      <c r="B8" s="7" t="s">
        <v>337</v>
      </c>
      <c r="C8" s="7" t="s">
        <v>338</v>
      </c>
      <c r="D8" s="8" t="s">
        <v>339</v>
      </c>
      <c r="E8" s="2" t="s">
        <v>340</v>
      </c>
    </row>
    <row r="9" customFormat="false" ht="15" hidden="false" customHeight="false" outlineLevel="0" collapsed="false">
      <c r="A9" s="8" t="s">
        <v>341</v>
      </c>
      <c r="B9" s="7" t="s">
        <v>342</v>
      </c>
      <c r="C9" s="7" t="s">
        <v>343</v>
      </c>
      <c r="D9" s="8" t="s">
        <v>330</v>
      </c>
    </row>
    <row r="10" customFormat="false" ht="15" hidden="false" customHeight="false" outlineLevel="0" collapsed="false">
      <c r="A10" s="8" t="s">
        <v>341</v>
      </c>
      <c r="B10" s="7" t="s">
        <v>342</v>
      </c>
      <c r="C10" s="7" t="s">
        <v>344</v>
      </c>
      <c r="D10" s="8" t="s">
        <v>334</v>
      </c>
    </row>
    <row r="12" customFormat="false" ht="43.5" hidden="false" customHeight="true" outlineLevel="0" collapsed="false">
      <c r="A12" s="26" t="s">
        <v>345</v>
      </c>
      <c r="B12" s="27" t="s">
        <v>346</v>
      </c>
      <c r="C12" s="27"/>
      <c r="D12" s="27"/>
      <c r="E12" s="27"/>
    </row>
    <row r="14" customFormat="false" ht="15" hidden="false" customHeight="false" outlineLevel="0" collapsed="false">
      <c r="A14" s="3" t="s">
        <v>347</v>
      </c>
      <c r="B14" s="4"/>
      <c r="C14" s="4"/>
      <c r="D14" s="4"/>
      <c r="E14" s="4"/>
    </row>
    <row r="15" customFormat="false" ht="15" hidden="false" customHeight="false" outlineLevel="0" collapsed="false">
      <c r="A15" s="5" t="s">
        <v>348</v>
      </c>
      <c r="B15" s="16" t="n">
        <v>500</v>
      </c>
      <c r="E15" s="2" t="s">
        <v>349</v>
      </c>
    </row>
    <row r="16" customFormat="false" ht="15" hidden="false" customHeight="false" outlineLevel="0" collapsed="false">
      <c r="A16" s="5" t="s">
        <v>350</v>
      </c>
      <c r="B16" s="16" t="n">
        <v>250</v>
      </c>
      <c r="E16" s="2" t="s">
        <v>351</v>
      </c>
    </row>
    <row r="17" customFormat="false" ht="15" hidden="false" customHeight="false" outlineLevel="0" collapsed="false">
      <c r="A17" s="5" t="s">
        <v>352</v>
      </c>
      <c r="B17" s="18" t="n">
        <f aca="false">SUM(B15:B16)</f>
        <v>750</v>
      </c>
      <c r="E17" s="2" t="s">
        <v>353</v>
      </c>
    </row>
    <row r="18" customFormat="false" ht="15" hidden="false" customHeight="false" outlineLevel="0" collapsed="false">
      <c r="A18" s="5" t="s">
        <v>64</v>
      </c>
      <c r="B18" s="33" t="n">
        <f aca="false">Snapshot!B14</f>
        <v>449</v>
      </c>
      <c r="E18" s="2" t="s">
        <v>354</v>
      </c>
    </row>
    <row r="19" customFormat="false" ht="15" hidden="false" customHeight="false" outlineLevel="0" collapsed="false">
      <c r="A19" s="5" t="s">
        <v>355</v>
      </c>
      <c r="B19" s="40" t="n">
        <f aca="false">B17+B18</f>
        <v>1199</v>
      </c>
    </row>
  </sheetData>
  <mergeCells count="1">
    <mergeCell ref="B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3"/>
    <col collapsed="false" customWidth="true" hidden="false" outlineLevel="0" max="7" min="7" style="0" width="4"/>
    <col collapsed="false" customWidth="true" hidden="false" outlineLevel="0" max="8" min="8" style="0" width="54"/>
  </cols>
  <sheetData>
    <row r="1" customFormat="false" ht="17.35" hidden="false" customHeight="false" outlineLevel="0" collapsed="false">
      <c r="A1" s="1" t="s">
        <v>356</v>
      </c>
    </row>
    <row r="2" customFormat="false" ht="15" hidden="false" customHeight="false" outlineLevel="0" collapsed="false">
      <c r="A2" s="2" t="s">
        <v>357</v>
      </c>
    </row>
    <row r="4" customFormat="false" ht="15" hidden="false" customHeight="false" outlineLevel="0" collapsed="false">
      <c r="A4" s="5" t="s">
        <v>358</v>
      </c>
      <c r="B4" s="45" t="n">
        <v>2</v>
      </c>
      <c r="H4" s="2" t="s">
        <v>359</v>
      </c>
    </row>
    <row r="6" customFormat="false" ht="15" hidden="false" customHeight="false" outlineLevel="0" collapsed="false">
      <c r="A6" s="3" t="s">
        <v>360</v>
      </c>
      <c r="B6" s="4"/>
      <c r="C6" s="4"/>
      <c r="D6" s="4"/>
      <c r="E6" s="4"/>
      <c r="F6" s="4"/>
    </row>
    <row r="7" customFormat="false" ht="15" hidden="false" customHeight="false" outlineLevel="0" collapsed="false">
      <c r="A7" s="19"/>
      <c r="B7" s="20" t="s">
        <v>255</v>
      </c>
      <c r="C7" s="20" t="s">
        <v>256</v>
      </c>
      <c r="D7" s="20" t="s">
        <v>361</v>
      </c>
      <c r="E7" s="20" t="s">
        <v>362</v>
      </c>
      <c r="F7" s="20" t="s">
        <v>363</v>
      </c>
    </row>
    <row r="8" customFormat="false" ht="15" hidden="false" customHeight="false" outlineLevel="0" collapsed="false">
      <c r="A8" s="8" t="s">
        <v>364</v>
      </c>
      <c r="B8" s="12" t="n">
        <v>76</v>
      </c>
      <c r="C8" s="12" t="n">
        <v>62</v>
      </c>
      <c r="D8" s="12" t="n">
        <v>58</v>
      </c>
      <c r="E8" s="12" t="n">
        <v>58</v>
      </c>
      <c r="F8" s="12" t="n">
        <v>58</v>
      </c>
    </row>
    <row r="9" customFormat="false" ht="15" hidden="false" customHeight="false" outlineLevel="0" collapsed="false">
      <c r="A9" s="8" t="s">
        <v>365</v>
      </c>
      <c r="B9" s="12" t="n">
        <v>1.9</v>
      </c>
      <c r="C9" s="12" t="n">
        <v>1.8</v>
      </c>
      <c r="D9" s="12" t="n">
        <v>1.9</v>
      </c>
      <c r="E9" s="12" t="n">
        <v>2</v>
      </c>
      <c r="F9" s="12" t="n">
        <v>2.1</v>
      </c>
    </row>
    <row r="10" customFormat="false" ht="15" hidden="false" customHeight="false" outlineLevel="0" collapsed="false">
      <c r="A10" s="8" t="s">
        <v>366</v>
      </c>
      <c r="B10" s="12" t="n">
        <v>0.7</v>
      </c>
      <c r="C10" s="12" t="n">
        <v>0.7</v>
      </c>
      <c r="D10" s="12" t="n">
        <v>0.7</v>
      </c>
      <c r="E10" s="12" t="n">
        <v>0.7</v>
      </c>
      <c r="F10" s="12" t="n">
        <v>0.7</v>
      </c>
    </row>
    <row r="11" customFormat="false" ht="15" hidden="false" customHeight="false" outlineLevel="0" collapsed="false">
      <c r="A11" s="8" t="s">
        <v>367</v>
      </c>
      <c r="B11" s="46" t="n">
        <v>1.38</v>
      </c>
      <c r="C11" s="46" t="n">
        <v>1.4</v>
      </c>
      <c r="D11" s="46" t="n">
        <v>1.42</v>
      </c>
      <c r="E11" s="46" t="n">
        <v>1.42</v>
      </c>
      <c r="F11" s="46" t="n">
        <v>1.42</v>
      </c>
    </row>
    <row r="12" customFormat="false" ht="15" hidden="false" customHeight="false" outlineLevel="0" collapsed="false">
      <c r="A12" s="8" t="s">
        <v>368</v>
      </c>
      <c r="B12" s="12" t="n">
        <v>-2</v>
      </c>
      <c r="C12" s="12" t="n">
        <v>-2</v>
      </c>
      <c r="D12" s="12" t="n">
        <v>-2</v>
      </c>
      <c r="E12" s="12" t="n">
        <v>-2</v>
      </c>
      <c r="F12" s="12" t="n">
        <v>-2</v>
      </c>
    </row>
    <row r="14" customFormat="false" ht="15" hidden="false" customHeight="false" outlineLevel="0" collapsed="false">
      <c r="A14" s="3" t="s">
        <v>369</v>
      </c>
      <c r="B14" s="4"/>
      <c r="C14" s="4"/>
      <c r="D14" s="4"/>
      <c r="E14" s="4"/>
      <c r="F14" s="4"/>
    </row>
    <row r="15" customFormat="false" ht="15" hidden="false" customHeight="false" outlineLevel="0" collapsed="false">
      <c r="A15" s="19"/>
      <c r="B15" s="20" t="s">
        <v>255</v>
      </c>
      <c r="C15" s="20" t="s">
        <v>256</v>
      </c>
      <c r="D15" s="20" t="s">
        <v>361</v>
      </c>
      <c r="E15" s="20" t="s">
        <v>362</v>
      </c>
      <c r="F15" s="20" t="s">
        <v>363</v>
      </c>
    </row>
    <row r="16" customFormat="false" ht="15" hidden="false" customHeight="false" outlineLevel="0" collapsed="false">
      <c r="A16" s="8" t="s">
        <v>364</v>
      </c>
      <c r="B16" s="12" t="n">
        <v>80</v>
      </c>
      <c r="C16" s="12" t="n">
        <v>75</v>
      </c>
      <c r="D16" s="12" t="n">
        <v>72</v>
      </c>
      <c r="E16" s="12" t="n">
        <v>70</v>
      </c>
      <c r="F16" s="12" t="n">
        <v>70</v>
      </c>
    </row>
    <row r="17" customFormat="false" ht="15" hidden="false" customHeight="false" outlineLevel="0" collapsed="false">
      <c r="A17" s="8" t="s">
        <v>365</v>
      </c>
      <c r="B17" s="12" t="n">
        <v>2.4</v>
      </c>
      <c r="C17" s="12" t="n">
        <v>2.9</v>
      </c>
      <c r="D17" s="12" t="n">
        <v>3.2</v>
      </c>
      <c r="E17" s="12" t="n">
        <v>3.3</v>
      </c>
      <c r="F17" s="12" t="n">
        <v>3.4</v>
      </c>
    </row>
    <row r="18" customFormat="false" ht="15" hidden="false" customHeight="false" outlineLevel="0" collapsed="false">
      <c r="A18" s="8" t="s">
        <v>366</v>
      </c>
      <c r="B18" s="12" t="n">
        <v>0.9</v>
      </c>
      <c r="C18" s="12" t="n">
        <v>0.9</v>
      </c>
      <c r="D18" s="12" t="n">
        <v>0.9</v>
      </c>
      <c r="E18" s="12" t="n">
        <v>0.9</v>
      </c>
      <c r="F18" s="12" t="n">
        <v>0.9</v>
      </c>
    </row>
    <row r="19" customFormat="false" ht="15" hidden="false" customHeight="false" outlineLevel="0" collapsed="false">
      <c r="A19" s="8" t="s">
        <v>367</v>
      </c>
      <c r="B19" s="46" t="n">
        <v>1.37</v>
      </c>
      <c r="C19" s="46" t="n">
        <v>1.36</v>
      </c>
      <c r="D19" s="46" t="n">
        <v>1.35</v>
      </c>
      <c r="E19" s="46" t="n">
        <v>1.35</v>
      </c>
      <c r="F19" s="46" t="n">
        <v>1.35</v>
      </c>
    </row>
    <row r="20" customFormat="false" ht="15" hidden="false" customHeight="false" outlineLevel="0" collapsed="false">
      <c r="A20" s="8" t="s">
        <v>368</v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</row>
    <row r="22" customFormat="false" ht="15" hidden="false" customHeight="false" outlineLevel="0" collapsed="false">
      <c r="A22" s="3" t="s">
        <v>370</v>
      </c>
      <c r="B22" s="4"/>
      <c r="C22" s="4"/>
      <c r="D22" s="4"/>
      <c r="E22" s="4"/>
      <c r="F22" s="4"/>
    </row>
    <row r="23" customFormat="false" ht="15" hidden="false" customHeight="false" outlineLevel="0" collapsed="false">
      <c r="A23" s="19"/>
      <c r="B23" s="20" t="s">
        <v>255</v>
      </c>
      <c r="C23" s="20" t="s">
        <v>256</v>
      </c>
      <c r="D23" s="20" t="s">
        <v>361</v>
      </c>
      <c r="E23" s="20" t="s">
        <v>362</v>
      </c>
      <c r="F23" s="20" t="s">
        <v>363</v>
      </c>
    </row>
    <row r="24" customFormat="false" ht="15" hidden="false" customHeight="false" outlineLevel="0" collapsed="false">
      <c r="A24" s="8" t="s">
        <v>364</v>
      </c>
      <c r="B24" s="12" t="n">
        <v>84</v>
      </c>
      <c r="C24" s="12" t="n">
        <v>95</v>
      </c>
      <c r="D24" s="12" t="n">
        <v>92</v>
      </c>
      <c r="E24" s="12" t="n">
        <v>90</v>
      </c>
      <c r="F24" s="12" t="n">
        <v>88</v>
      </c>
    </row>
    <row r="25" customFormat="false" ht="15" hidden="false" customHeight="false" outlineLevel="0" collapsed="false">
      <c r="A25" s="8" t="s">
        <v>365</v>
      </c>
      <c r="B25" s="12" t="n">
        <v>3</v>
      </c>
      <c r="C25" s="12" t="n">
        <v>4</v>
      </c>
      <c r="D25" s="12" t="n">
        <v>4.5</v>
      </c>
      <c r="E25" s="12" t="n">
        <v>4.75</v>
      </c>
      <c r="F25" s="12" t="n">
        <v>5</v>
      </c>
    </row>
    <row r="26" customFormat="false" ht="15" hidden="false" customHeight="false" outlineLevel="0" collapsed="false">
      <c r="A26" s="8" t="s">
        <v>366</v>
      </c>
      <c r="B26" s="12" t="n">
        <v>1.1</v>
      </c>
      <c r="C26" s="12" t="n">
        <v>1.2</v>
      </c>
      <c r="D26" s="12" t="n">
        <v>1.2</v>
      </c>
      <c r="E26" s="12" t="n">
        <v>1.2</v>
      </c>
      <c r="F26" s="12" t="n">
        <v>1.2</v>
      </c>
    </row>
    <row r="27" customFormat="false" ht="15" hidden="false" customHeight="false" outlineLevel="0" collapsed="false">
      <c r="A27" s="8" t="s">
        <v>367</v>
      </c>
      <c r="B27" s="46" t="n">
        <v>1.35</v>
      </c>
      <c r="C27" s="46" t="n">
        <v>1.33</v>
      </c>
      <c r="D27" s="46" t="n">
        <v>1.32</v>
      </c>
      <c r="E27" s="46" t="n">
        <v>1.32</v>
      </c>
      <c r="F27" s="46" t="n">
        <v>1.32</v>
      </c>
    </row>
    <row r="28" customFormat="false" ht="15" hidden="false" customHeight="false" outlineLevel="0" collapsed="false">
      <c r="A28" s="8" t="s">
        <v>368</v>
      </c>
      <c r="B28" s="12" t="n">
        <v>2</v>
      </c>
      <c r="C28" s="12" t="n">
        <v>2</v>
      </c>
      <c r="D28" s="12" t="n">
        <v>2</v>
      </c>
      <c r="E28" s="12" t="n">
        <v>2</v>
      </c>
      <c r="F28" s="12" t="n">
        <v>2</v>
      </c>
    </row>
    <row r="30" customFormat="false" ht="15" hidden="false" customHeight="false" outlineLevel="0" collapsed="false">
      <c r="A30" s="5" t="s">
        <v>371</v>
      </c>
      <c r="B30" s="47" t="n">
        <v>0</v>
      </c>
      <c r="C30" s="47" t="n">
        <v>0.5</v>
      </c>
      <c r="D30" s="47" t="n">
        <v>1</v>
      </c>
      <c r="H30" s="2" t="s">
        <v>372</v>
      </c>
    </row>
    <row r="32" customFormat="false" ht="15" hidden="false" customHeight="false" outlineLevel="0" collapsed="false">
      <c r="A32" s="3" t="s">
        <v>373</v>
      </c>
      <c r="B32" s="4"/>
      <c r="C32" s="4"/>
      <c r="D32" s="4"/>
      <c r="E32" s="4"/>
      <c r="F32" s="4"/>
    </row>
    <row r="33" customFormat="false" ht="15" hidden="false" customHeight="false" outlineLevel="0" collapsed="false">
      <c r="A33" s="19"/>
      <c r="B33" s="20" t="s">
        <v>255</v>
      </c>
      <c r="C33" s="20" t="s">
        <v>256</v>
      </c>
      <c r="D33" s="20" t="s">
        <v>361</v>
      </c>
      <c r="E33" s="20" t="s">
        <v>362</v>
      </c>
      <c r="F33" s="20" t="s">
        <v>363</v>
      </c>
    </row>
    <row r="34" customFormat="false" ht="15" hidden="false" customHeight="false" outlineLevel="0" collapsed="false">
      <c r="A34" s="5" t="s">
        <v>364</v>
      </c>
      <c r="B34" s="48" t="n">
        <f aca="false">IF($B$4=1,B8,IF($B$4=3,B24,B16))</f>
        <v>80</v>
      </c>
      <c r="C34" s="48" t="n">
        <f aca="false">IF($B$4=1,C8,IF($B$4=3,C24,C16))</f>
        <v>75</v>
      </c>
      <c r="D34" s="48" t="n">
        <f aca="false">IF($B$4=1,D8,IF($B$4=3,D24,D16))</f>
        <v>72</v>
      </c>
      <c r="E34" s="48" t="n">
        <f aca="false">IF($B$4=1,E8,IF($B$4=3,E24,E16))</f>
        <v>70</v>
      </c>
      <c r="F34" s="48" t="n">
        <f aca="false">IF($B$4=1,F8,IF($B$4=3,F24,F16))</f>
        <v>70</v>
      </c>
    </row>
    <row r="35" customFormat="false" ht="15" hidden="false" customHeight="false" outlineLevel="0" collapsed="false">
      <c r="A35" s="5" t="s">
        <v>365</v>
      </c>
      <c r="B35" s="48" t="n">
        <f aca="false">IF($B$4=1,B9,IF($B$4=3,B25,B17))</f>
        <v>2.4</v>
      </c>
      <c r="C35" s="48" t="n">
        <f aca="false">IF($B$4=1,C9,IF($B$4=3,C25,C17))</f>
        <v>2.9</v>
      </c>
      <c r="D35" s="48" t="n">
        <f aca="false">IF($B$4=1,D9,IF($B$4=3,D25,D17))</f>
        <v>3.2</v>
      </c>
      <c r="E35" s="48" t="n">
        <f aca="false">IF($B$4=1,E9,IF($B$4=3,E25,E17))</f>
        <v>3.3</v>
      </c>
      <c r="F35" s="48" t="n">
        <f aca="false">IF($B$4=1,F9,IF($B$4=3,F25,F17))</f>
        <v>3.4</v>
      </c>
    </row>
    <row r="36" customFormat="false" ht="15" hidden="false" customHeight="false" outlineLevel="0" collapsed="false">
      <c r="A36" s="5" t="s">
        <v>366</v>
      </c>
      <c r="B36" s="48" t="n">
        <f aca="false">IF($B$4=1,B10,IF($B$4=3,B26,B18))</f>
        <v>0.9</v>
      </c>
      <c r="C36" s="48" t="n">
        <f aca="false">IF($B$4=1,C10,IF($B$4=3,C26,C18))</f>
        <v>0.9</v>
      </c>
      <c r="D36" s="48" t="n">
        <f aca="false">IF($B$4=1,D10,IF($B$4=3,D26,D18))</f>
        <v>0.9</v>
      </c>
      <c r="E36" s="48" t="n">
        <f aca="false">IF($B$4=1,E10,IF($B$4=3,E26,E18))</f>
        <v>0.9</v>
      </c>
      <c r="F36" s="48" t="n">
        <f aca="false">IF($B$4=1,F10,IF($B$4=3,F26,F18))</f>
        <v>0.9</v>
      </c>
    </row>
    <row r="37" customFormat="false" ht="15" hidden="false" customHeight="false" outlineLevel="0" collapsed="false">
      <c r="A37" s="5" t="s">
        <v>367</v>
      </c>
      <c r="B37" s="49" t="n">
        <f aca="false">IF($B$4=1,B11,IF($B$4=3,B27,B19))</f>
        <v>1.37</v>
      </c>
      <c r="C37" s="49" t="n">
        <f aca="false">IF($B$4=1,C11,IF($B$4=3,C27,C19))</f>
        <v>1.36</v>
      </c>
      <c r="D37" s="49" t="n">
        <f aca="false">IF($B$4=1,D11,IF($B$4=3,D27,D19))</f>
        <v>1.35</v>
      </c>
      <c r="E37" s="49" t="n">
        <f aca="false">IF($B$4=1,E11,IF($B$4=3,E27,E19))</f>
        <v>1.35</v>
      </c>
      <c r="F37" s="49" t="n">
        <f aca="false">IF($B$4=1,F11,IF($B$4=3,F27,F19))</f>
        <v>1.35</v>
      </c>
    </row>
    <row r="38" customFormat="false" ht="15" hidden="false" customHeight="false" outlineLevel="0" collapsed="false">
      <c r="A38" s="5" t="s">
        <v>368</v>
      </c>
      <c r="B38" s="48" t="n">
        <f aca="false">IF($B$4=1,B12,IF($B$4=3,B28,B20))</f>
        <v>0</v>
      </c>
      <c r="C38" s="48" t="n">
        <f aca="false">IF($B$4=1,C12,IF($B$4=3,C28,C20))</f>
        <v>0</v>
      </c>
      <c r="D38" s="48" t="n">
        <f aca="false">IF($B$4=1,D12,IF($B$4=3,D28,D20))</f>
        <v>0</v>
      </c>
      <c r="E38" s="48" t="n">
        <f aca="false">IF($B$4=1,E12,IF($B$4=3,E28,E20))</f>
        <v>0</v>
      </c>
      <c r="F38" s="48" t="n">
        <f aca="false">IF($B$4=1,F12,IF($B$4=3,F28,F20))</f>
        <v>0</v>
      </c>
    </row>
    <row r="40" customFormat="false" ht="15" hidden="false" customHeight="false" outlineLevel="0" collapsed="false">
      <c r="A40" s="5" t="s">
        <v>374</v>
      </c>
      <c r="B40" s="50" t="n">
        <f aca="false">(B35+B36)*1.055</f>
        <v>3.4815</v>
      </c>
      <c r="C40" s="50" t="n">
        <f aca="false">(C35+C36)*1.055</f>
        <v>4.009</v>
      </c>
      <c r="D40" s="50" t="n">
        <f aca="false">(D35+D36)*1.055</f>
        <v>4.3255</v>
      </c>
      <c r="E40" s="50" t="n">
        <f aca="false">(E35+E36)*1.055</f>
        <v>4.431</v>
      </c>
      <c r="F40" s="50" t="n">
        <f aca="false">(F35+F36)*1.055</f>
        <v>4.5365</v>
      </c>
      <c r="H40" s="2" t="s">
        <v>375</v>
      </c>
    </row>
    <row r="41" customFormat="false" ht="15" hidden="false" customHeight="false" outlineLevel="0" collapsed="false">
      <c r="A41" s="5" t="s">
        <v>376</v>
      </c>
      <c r="B41" s="50" t="n">
        <f aca="false">B34*B37+B38</f>
        <v>109.6</v>
      </c>
      <c r="C41" s="50" t="n">
        <f aca="false">C34*C37+C38</f>
        <v>102</v>
      </c>
      <c r="D41" s="50" t="n">
        <f aca="false">D34*D37+D38</f>
        <v>97.2</v>
      </c>
      <c r="E41" s="50" t="n">
        <f aca="false">E34*E37+E38</f>
        <v>94.5</v>
      </c>
      <c r="F41" s="50" t="n">
        <f aca="false">F34*F37+F38</f>
        <v>94.5</v>
      </c>
      <c r="H41" s="2" t="s">
        <v>377</v>
      </c>
    </row>
    <row r="43" customFormat="false" ht="42" hidden="false" customHeight="true" outlineLevel="0" collapsed="false">
      <c r="A43" s="26" t="s">
        <v>378</v>
      </c>
      <c r="B43" s="27" t="s">
        <v>379</v>
      </c>
      <c r="C43" s="27"/>
      <c r="D43" s="27"/>
      <c r="E43" s="27"/>
      <c r="F43" s="27"/>
      <c r="G43" s="27"/>
      <c r="H43" s="27"/>
    </row>
  </sheetData>
  <mergeCells count="1">
    <mergeCell ref="B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66"/>
  </cols>
  <sheetData>
    <row r="1" customFormat="false" ht="17.35" hidden="false" customHeight="false" outlineLevel="0" collapsed="false">
      <c r="A1" s="1" t="s">
        <v>380</v>
      </c>
    </row>
    <row r="2" customFormat="false" ht="15" hidden="false" customHeight="false" outlineLevel="0" collapsed="false">
      <c r="A2" s="2" t="s">
        <v>381</v>
      </c>
    </row>
    <row r="4" customFormat="false" ht="15" hidden="false" customHeight="false" outlineLevel="0" collapsed="false">
      <c r="A4" s="3" t="s">
        <v>382</v>
      </c>
      <c r="B4" s="4"/>
      <c r="C4" s="4"/>
      <c r="D4" s="4"/>
    </row>
    <row r="5" customFormat="false" ht="15" hidden="false" customHeight="false" outlineLevel="0" collapsed="false">
      <c r="A5" s="5" t="s">
        <v>383</v>
      </c>
      <c r="B5" s="35" t="n">
        <f aca="false">Snapshot!B6</f>
        <v>32.65</v>
      </c>
    </row>
    <row r="6" customFormat="false" ht="15" hidden="false" customHeight="false" outlineLevel="0" collapsed="false">
      <c r="A6" s="5" t="s">
        <v>208</v>
      </c>
      <c r="B6" s="34" t="n">
        <f aca="false">Snapshot!B10</f>
        <v>145.8</v>
      </c>
    </row>
    <row r="7" customFormat="false" ht="15" hidden="false" customHeight="false" outlineLevel="0" collapsed="false">
      <c r="A7" s="5" t="s">
        <v>62</v>
      </c>
      <c r="B7" s="33" t="n">
        <f aca="false">Snapshot!B11</f>
        <v>4760.37</v>
      </c>
    </row>
    <row r="8" customFormat="false" ht="15" hidden="false" customHeight="false" outlineLevel="0" collapsed="false">
      <c r="A8" s="5" t="s">
        <v>384</v>
      </c>
      <c r="B8" s="33" t="n">
        <f aca="false">Snapshot!B25</f>
        <v>4223.27</v>
      </c>
      <c r="D8" s="2" t="s">
        <v>385</v>
      </c>
    </row>
    <row r="9" customFormat="false" ht="15" hidden="false" customHeight="false" outlineLevel="0" collapsed="false">
      <c r="A9" s="5" t="s">
        <v>386</v>
      </c>
      <c r="B9" s="51" t="n">
        <f aca="false">Production_Ops!G9</f>
        <v>47284.6666666667</v>
      </c>
    </row>
    <row r="10" customFormat="false" ht="15" hidden="false" customHeight="false" outlineLevel="0" collapsed="false">
      <c r="A10" s="5" t="s">
        <v>387</v>
      </c>
      <c r="B10" s="51" t="n">
        <f aca="false">Guidance!D7</f>
        <v>61500</v>
      </c>
      <c r="D10" s="2" t="s">
        <v>388</v>
      </c>
    </row>
    <row r="11" customFormat="false" ht="15" hidden="false" customHeight="false" outlineLevel="0" collapsed="false">
      <c r="A11" s="5" t="s">
        <v>389</v>
      </c>
      <c r="B11" s="33" t="n">
        <f aca="false">Financials_Hist!G8*4</f>
        <v>702.4</v>
      </c>
      <c r="D11" s="2" t="s">
        <v>390</v>
      </c>
    </row>
    <row r="12" customFormat="false" ht="15" hidden="false" customHeight="false" outlineLevel="0" collapsed="false">
      <c r="A12" s="5" t="s">
        <v>391</v>
      </c>
      <c r="B12" s="33" t="n">
        <f aca="false">(Financials_Hist!F8+Financials_Hist!G8)*2</f>
        <v>638</v>
      </c>
    </row>
    <row r="13" customFormat="false" ht="15" hidden="false" customHeight="false" outlineLevel="0" collapsed="false">
      <c r="A13" s="5" t="s">
        <v>392</v>
      </c>
      <c r="B13" s="51" t="n">
        <f aca="false">Reserves!D9</f>
        <v>521579</v>
      </c>
    </row>
    <row r="14" customFormat="false" ht="15" hidden="false" customHeight="false" outlineLevel="0" collapsed="false">
      <c r="A14" s="5" t="s">
        <v>393</v>
      </c>
      <c r="B14" s="33" t="n">
        <f aca="false">Reserves!D21</f>
        <v>3250</v>
      </c>
    </row>
    <row r="16" customFormat="false" ht="15" hidden="false" customHeight="false" outlineLevel="0" collapsed="false">
      <c r="A16" s="3" t="s">
        <v>394</v>
      </c>
      <c r="B16" s="4"/>
      <c r="C16" s="4"/>
      <c r="D16" s="4"/>
    </row>
    <row r="17" customFormat="false" ht="25.5" hidden="false" customHeight="true" outlineLevel="0" collapsed="false">
      <c r="A17" s="5" t="s">
        <v>395</v>
      </c>
      <c r="B17" s="52" t="n">
        <f aca="false">B8/B11</f>
        <v>6.01262813211845</v>
      </c>
      <c r="D17" s="17" t="s">
        <v>396</v>
      </c>
    </row>
    <row r="18" customFormat="false" ht="15" hidden="false" customHeight="false" outlineLevel="0" collapsed="false">
      <c r="A18" s="5" t="s">
        <v>397</v>
      </c>
      <c r="B18" s="52" t="n">
        <f aca="false">B8/B12</f>
        <v>6.61954545454545</v>
      </c>
    </row>
    <row r="19" customFormat="false" ht="25.5" hidden="false" customHeight="true" outlineLevel="0" collapsed="false">
      <c r="A19" s="5" t="s">
        <v>398</v>
      </c>
      <c r="B19" s="53" t="n">
        <f aca="false">B8*1000000/B9</f>
        <v>89315.845869697</v>
      </c>
      <c r="D19" s="17" t="s">
        <v>399</v>
      </c>
    </row>
    <row r="20" customFormat="false" ht="25.5" hidden="false" customHeight="true" outlineLevel="0" collapsed="false">
      <c r="A20" s="5" t="s">
        <v>400</v>
      </c>
      <c r="B20" s="53" t="n">
        <f aca="false">B8*1000000/B10</f>
        <v>68671.0569105691</v>
      </c>
      <c r="D20" s="17" t="s">
        <v>401</v>
      </c>
    </row>
    <row r="21" customFormat="false" ht="15" hidden="false" customHeight="false" outlineLevel="0" collapsed="false">
      <c r="A21" s="5" t="s">
        <v>402</v>
      </c>
      <c r="B21" s="54" t="n">
        <f aca="false">B8*1000/B13</f>
        <v>8.09708596396711</v>
      </c>
    </row>
    <row r="22" customFormat="false" ht="25.5" hidden="false" customHeight="true" outlineLevel="0" collapsed="false">
      <c r="A22" s="5" t="s">
        <v>403</v>
      </c>
      <c r="B22" s="52" t="n">
        <f aca="false">B7/B14</f>
        <v>1.46472923076923</v>
      </c>
      <c r="D22" s="17" t="s">
        <v>404</v>
      </c>
    </row>
    <row r="23" customFormat="false" ht="15" hidden="false" customHeight="false" outlineLevel="0" collapsed="false">
      <c r="A23" s="5" t="s">
        <v>405</v>
      </c>
      <c r="B23" s="54" t="n">
        <f aca="false">B14/B6</f>
        <v>22.2908093278464</v>
      </c>
    </row>
    <row r="24" customFormat="false" ht="15" hidden="false" customHeight="false" outlineLevel="0" collapsed="false">
      <c r="A24" s="5" t="s">
        <v>406</v>
      </c>
      <c r="B24" s="55" t="n">
        <f aca="false">B5/(B14/B6)-1</f>
        <v>0.464729230769231</v>
      </c>
    </row>
    <row r="26" customFormat="false" ht="15" hidden="false" customHeight="false" outlineLevel="0" collapsed="false">
      <c r="A26" s="3" t="s">
        <v>407</v>
      </c>
      <c r="B26" s="4"/>
      <c r="C26" s="4"/>
      <c r="D26" s="4"/>
    </row>
    <row r="27" customFormat="false" ht="15" hidden="false" customHeight="false" outlineLevel="0" collapsed="false">
      <c r="A27" s="19" t="s">
        <v>408</v>
      </c>
      <c r="B27" s="20" t="s">
        <v>409</v>
      </c>
      <c r="C27" s="21"/>
      <c r="D27" s="19" t="s">
        <v>410</v>
      </c>
    </row>
    <row r="28" customFormat="false" ht="15" hidden="false" customHeight="false" outlineLevel="0" collapsed="false">
      <c r="A28" s="22" t="n">
        <v>0</v>
      </c>
      <c r="B28" s="50" t="n">
        <f aca="false">B5*(1+A28)</f>
        <v>32.65</v>
      </c>
      <c r="D28" s="8" t="str">
        <f aca="false">"Equity value C$"&amp;TEXT(B28*B6,"#,##0")&amp;"mm  |  P/NAV "&amp;TEXT(B28*B6/B14,"0.00")&amp;"x"</f>
        <v>Equity value C$4,760mm  |  P/NAV 1.46x</v>
      </c>
    </row>
    <row r="29" customFormat="false" ht="15" hidden="false" customHeight="false" outlineLevel="0" collapsed="false">
      <c r="A29" s="22" t="n">
        <v>0.15</v>
      </c>
      <c r="B29" s="50" t="n">
        <f aca="false">B5*(1+A29)</f>
        <v>37.5475</v>
      </c>
      <c r="D29" s="8" t="str">
        <f aca="false">"Equity value C$"&amp;TEXT(B29*B6,"#,##0")&amp;"mm  |  P/NAV "&amp;TEXT(B29*B6/B14,"0.00")&amp;"x"</f>
        <v>Equity value C$5,474mm  |  P/NAV 1.68x</v>
      </c>
    </row>
    <row r="30" customFormat="false" ht="15" hidden="false" customHeight="false" outlineLevel="0" collapsed="false">
      <c r="A30" s="22" t="n">
        <v>0.25</v>
      </c>
      <c r="B30" s="50" t="n">
        <f aca="false">B5*(1+A30)</f>
        <v>40.8125</v>
      </c>
      <c r="D30" s="8" t="str">
        <f aca="false">"Equity value C$"&amp;TEXT(B30*B6,"#,##0")&amp;"mm  |  P/NAV "&amp;TEXT(B30*B6/B14,"0.00")&amp;"x"</f>
        <v>Equity value C$5,950mm  |  P/NAV 1.83x</v>
      </c>
    </row>
    <row r="31" customFormat="false" ht="15" hidden="false" customHeight="false" outlineLevel="0" collapsed="false">
      <c r="A31" s="22" t="n">
        <v>0.35</v>
      </c>
      <c r="B31" s="50" t="n">
        <f aca="false">B5*(1+A31)</f>
        <v>44.0775</v>
      </c>
      <c r="D31" s="8" t="str">
        <f aca="false">"Equity value C$"&amp;TEXT(B31*B6,"#,##0")&amp;"mm  |  P/NAV "&amp;TEXT(B31*B6/B14,"0.00")&amp;"x"</f>
        <v>Equity value C$6,426mm  |  P/NAV 1.98x</v>
      </c>
    </row>
    <row r="33" customFormat="false" ht="55.5" hidden="false" customHeight="true" outlineLevel="0" collapsed="false">
      <c r="A33" s="26" t="s">
        <v>411</v>
      </c>
      <c r="B33" s="27" t="s">
        <v>412</v>
      </c>
      <c r="C33" s="27"/>
      <c r="D33" s="27"/>
    </row>
  </sheetData>
  <mergeCells count="1">
    <mergeCell ref="B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2026-08-25T19:13:48Z</dcterms:created>
  <dc:creator>openpyxl</dc:creator>
  <dc:description/>
  <dc:language>en-US</dc:language>
  <cp:lastModifiedBy/>
  <dcterms:modified xsi:type="dcterms:W3CDTF">2026-08-25T19:13:48Z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