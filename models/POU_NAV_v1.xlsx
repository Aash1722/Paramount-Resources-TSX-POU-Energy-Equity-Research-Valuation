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ssumptions" sheetId="2" state="visible" r:id="rId4"/>
    <sheet name="NAV_Build" sheetId="3" state="visible" r:id="rId5"/>
    <sheet name="NAV_Summar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<sst xmlns="http://schemas.openxmlformats.org/spreadsheetml/2006/main" count="177" uniqueCount="166">
  <si>
    <t xml:space="preserve">Paramount Resources — Module 4: Sum-of-the-Parts Net Asset Value</t>
  </si>
  <si>
    <t xml:space="preserve">Values each asset separately, then rolls to a per-share number and compares it to the market price.</t>
  </si>
  <si>
    <t xml:space="preserve">APPROACH</t>
  </si>
  <si>
    <t xml:space="preserve">Why sum-of-the-parts</t>
  </si>
  <si>
    <t xml:space="preserve">Paramount's assets have completely different economics: Willesden Green is a producing liquids-rich play, Sinclair is an unbuilt dry-gas project, Kaybob is a declining annuity, and the land bank generates nothing. A single corporate multiple would obscure all of that.</t>
  </si>
  <si>
    <t xml:space="preserve">Willesden Green</t>
  </si>
  <si>
    <t xml:space="preserve">Producing base as a declining annuity, plus the present value of a 20-year drilling programme valued off the Module 3 type curve. Net present value per well is live to the price deck rather than hardcoded.</t>
  </si>
  <si>
    <t xml:space="preserve">Sinclair</t>
  </si>
  <si>
    <t xml:space="preserve">Treated as a development project: remaining construction capital deducted, then a delayed annuity from first gas, multiplied by an execution risk factor. This is the asset that decides the valuation.</t>
  </si>
  <si>
    <t xml:space="preserve">Kaybob</t>
  </si>
  <si>
    <t xml:space="preserve">Declining annuity net of the maintenance capital required to sustain it.</t>
  </si>
  <si>
    <t xml:space="preserve">Land</t>
  </si>
  <si>
    <t xml:space="preserve">Acreage carrying no reserves, at a per-acre mark. The softest number in the model — treat it as option value, not value.</t>
  </si>
  <si>
    <t xml:space="preserve">Closed-form maths</t>
  </si>
  <si>
    <t xml:space="preserve">Every asset uses annuity algebra rather than a year-by-year grid. That keeps the sensitivity table on NAV_Summary fully live instead of static.</t>
  </si>
  <si>
    <t xml:space="preserve">THE TWO FORMULAS DOING ALL THE WORK</t>
  </si>
  <si>
    <t xml:space="preserve">Declining annuity</t>
  </si>
  <si>
    <t xml:space="preserve">PV = Q x 365 x netback / (r + d). A stream declining at rate d, discounted at r. This is why the decline rate matters as much as the discount rate — both sit in the denominator.</t>
  </si>
  <si>
    <t xml:space="preserve">Level annuity</t>
  </si>
  <si>
    <t xml:space="preserve">PV = C x [1 - (1+r)^-n] / r. Used for the drilling programme: a fixed number of wells drilled each year for n years.</t>
  </si>
  <si>
    <t xml:space="preserve">HEALTH WARNINGS</t>
  </si>
  <si>
    <t xml:space="preserve">•  This is a pre-tax-pool NAV with a single effective tax drag applied at the corporate level. A full model would schedule the tax pools remaining from the Grande Prairie disposition explicitly.</t>
  </si>
  <si>
    <t xml:space="preserve">•  The Sinclair execution risk factor is a judgement, not an observation. It is the single largest lever in the file — vary it before quoting any conclusion.</t>
  </si>
  <si>
    <t xml:space="preserve">•  Land value is the weakest input. Frontier acreage in Horn River, Liard and the Northwest Territories may be worth nothing at current prices.</t>
  </si>
  <si>
    <t xml:space="preserve">•  Module 3 showed the drilling programme assumes no well-to-well interference, so the well count is a floor and the programme value is therefore optimistic at the margin.</t>
  </si>
  <si>
    <t xml:space="preserve">Hypothetical case study. Not investment advice.</t>
  </si>
  <si>
    <t xml:space="preserve">Valuation Assumptions</t>
  </si>
  <si>
    <t xml:space="preserve">Yellow cells are the levers. Netbacks are computed from the price deck and each asset's product mix.</t>
  </si>
  <si>
    <t xml:space="preserve">PRICE DECK AND DISCOUNTING</t>
  </si>
  <si>
    <t xml:space="preserve">WTI (US$/Bbl)</t>
  </si>
  <si>
    <t xml:space="preserve">Module 2 Base deck long-run level. Spot is near US$86 on a geopolitical premium.</t>
  </si>
  <si>
    <t xml:space="preserve">CAD/USD</t>
  </si>
  <si>
    <t xml:space="preserve">Realised gas (C$/Mcf)</t>
  </si>
  <si>
    <t xml:space="preserve">AECO C$3.20/GJ plus C$0.90 diversification premium, converted at 1.055.</t>
  </si>
  <si>
    <t xml:space="preserve">Other NGLs as % of condensate</t>
  </si>
  <si>
    <t xml:space="preserve">Discount rate</t>
  </si>
  <si>
    <t xml:space="preserve">Industry convention for reserve valuation is 10% before tax.</t>
  </si>
  <si>
    <t xml:space="preserve">Shares outstanding (mm)</t>
  </si>
  <si>
    <t xml:space="preserve">Current share price (C$)</t>
  </si>
  <si>
    <t xml:space="preserve">ASSET MIX AND UNIT COSTS</t>
  </si>
  <si>
    <t xml:space="preserve">Willesden Grn</t>
  </si>
  <si>
    <t xml:space="preserve">Liquids % of production</t>
  </si>
  <si>
    <t xml:space="preserve">Sinclair is dry gas — this single row explains most of the valuation gap between the assets.</t>
  </si>
  <si>
    <t xml:space="preserve">Condensate share of liquids</t>
  </si>
  <si>
    <t xml:space="preserve">Operating expense (C$/Boe)</t>
  </si>
  <si>
    <t xml:space="preserve">Willesden Green is the Q4 2025 actual. Sinclair assumes high-rate dry gas through an owned plant.</t>
  </si>
  <si>
    <t xml:space="preserve">Transportation (C$/Boe)</t>
  </si>
  <si>
    <t xml:space="preserve">Royalty rate</t>
  </si>
  <si>
    <t xml:space="preserve">COMPUTED NETBACK BY ASSET (C$/Boe)</t>
  </si>
  <si>
    <t xml:space="preserve">Condensate price (C$/Bbl)</t>
  </si>
  <si>
    <t xml:space="preserve">Revenue per Boe</t>
  </si>
  <si>
    <t xml:space="preserve">One Boe = liquids fraction in barrels, plus the gas remainder times six Mcf.</t>
  </si>
  <si>
    <t xml:space="preserve">Netback per Boe</t>
  </si>
  <si>
    <t xml:space="preserve">Drives every asset value below.</t>
  </si>
  <si>
    <t xml:space="preserve">WILLESDEN GREEN — PRODUCING BASE AND DRILLING PROGRAMME</t>
  </si>
  <si>
    <t xml:space="preserve">Current production (Boe/d)</t>
  </si>
  <si>
    <t xml:space="preserve">Q2 2026 actual.</t>
  </si>
  <si>
    <t xml:space="preserve">Base decline rate</t>
  </si>
  <si>
    <t xml:space="preserve">Corporate-level decline on the producing base, gentler than a single new well.</t>
  </si>
  <si>
    <t xml:space="preserve">EUR per well (MBoe)</t>
  </si>
  <si>
    <t xml:space="preserve">MODULE 3 OUTPUT — calibrated to the disclosed 210-day rate.</t>
  </si>
  <si>
    <t xml:space="preserve">Production PV factor</t>
  </si>
  <si>
    <t xml:space="preserve">Collapses the timing of a well's production into one discount factor. Calibrated so NPV per well reproduces the Module 3 full-cycle figure of C$23.5mm.</t>
  </si>
  <si>
    <t xml:space="preserve">Full-cycle cost per well (C$mm)</t>
  </si>
  <si>
    <t xml:space="preserve">MODULE 3: C$13mm drilling and completion plus C$5mm allocated facility capital.</t>
  </si>
  <si>
    <t xml:space="preserve">Net present value per well (C$mm)</t>
  </si>
  <si>
    <t xml:space="preserve">Live to price. Cross-check against Module 3's C$23.5mm at WTI US$80.</t>
  </si>
  <si>
    <t xml:space="preserve">Wells drilled per year</t>
  </si>
  <si>
    <t xml:space="preserve">MODULE 3: the count that sustains the 50,000 Boe/d plateau. Assumes no well interference, so it is a floor.</t>
  </si>
  <si>
    <t xml:space="preserve">Programme life (years)</t>
  </si>
  <si>
    <t xml:space="preserve">Company states the plateau is sustainable for 20+ years.</t>
  </si>
  <si>
    <t xml:space="preserve">Risk factor on undrilled locations</t>
  </si>
  <si>
    <t xml:space="preserve">Haircut for locations not yet booked as proved developed.</t>
  </si>
  <si>
    <t xml:space="preserve">SINCLAIR — DEVELOPMENT PROJECT</t>
  </si>
  <si>
    <t xml:space="preserve">Plateau production (Boe/d)</t>
  </si>
  <si>
    <t xml:space="preserve">Constrained by 335 MMcf/d of firm egress, not by the resource.</t>
  </si>
  <si>
    <t xml:space="preserve">Years held at plateau</t>
  </si>
  <si>
    <t xml:space="preserve">Egress is capped at 335 MMcf/d while the resource is far larger, so the asset is designed to hold plateau rather than decline from day one. Modelling immediate decline understates it badly.</t>
  </si>
  <si>
    <t xml:space="preserve">Decline rate after plateau</t>
  </si>
  <si>
    <t xml:space="preserve">Remaining construction capital (C$mm)</t>
  </si>
  <si>
    <t xml:space="preserve">Roughly C$360mm in 2026 plus C$440mm in 2027 per company guidance.</t>
  </si>
  <si>
    <t xml:space="preserve">Years to first gas</t>
  </si>
  <si>
    <t xml:space="preserve">Q4 2027 from an August 2026 valuation date.</t>
  </si>
  <si>
    <t xml:space="preserve">Years to reach plateau</t>
  </si>
  <si>
    <t xml:space="preserve">Maintenance capital (% of netback)</t>
  </si>
  <si>
    <t xml:space="preserve">Dry gas needs continuous drilling to hold plateau.</t>
  </si>
  <si>
    <t xml:space="preserve">Execution risk factor</t>
  </si>
  <si>
    <t xml:space="preserve">THE BIGGEST LEVER IN THE MODEL. Single asset, single plant, unhedged gas price at start-up. Vary this from 50% to 90% before quoting anything.</t>
  </si>
  <si>
    <t xml:space="preserve">KAYBOB AND OTHER</t>
  </si>
  <si>
    <t xml:space="preserve">Kaybob production (Boe/d)</t>
  </si>
  <si>
    <t xml:space="preserve">Kaybob decline rate</t>
  </si>
  <si>
    <t xml:space="preserve">Kaybob maintenance capital (% of netback)</t>
  </si>
  <si>
    <t xml:space="preserve">Higher than Willesden Green: mature wells, worse economics.</t>
  </si>
  <si>
    <t xml:space="preserve">Undeveloped net acreage (thousand acres)</t>
  </si>
  <si>
    <t xml:space="preserve">Acreage carrying no reserves at 31-Dec-2025.</t>
  </si>
  <si>
    <t xml:space="preserve">Land value (C$ per acre)</t>
  </si>
  <si>
    <t xml:space="preserve">WEAKEST INPUT IN THE FILE. Frontier acreage may be worth nothing. Sensitivity runs C$0 to C$400.</t>
  </si>
  <si>
    <t xml:space="preserve">CORPORATE</t>
  </si>
  <si>
    <t xml:space="preserve">General and administrative (C$mm per year)</t>
  </si>
  <si>
    <t xml:space="preserve">Net cash at 30-Jun-2026 (C$mm)</t>
  </si>
  <si>
    <t xml:space="preserve">Module 1. Net cash, so it adds to value.</t>
  </si>
  <si>
    <t xml:space="preserve">Investments in securities (C$mm)</t>
  </si>
  <si>
    <t xml:space="preserve">Confirm the residual after the AKITA distribution on 16-Jul-2026.</t>
  </si>
  <si>
    <t xml:space="preserve">Present value of abandonment beyond reserves (C$mm)</t>
  </si>
  <si>
    <t xml:space="preserve">Long-dated obligations on legacy properties not captured in the reserve report.</t>
  </si>
  <si>
    <t xml:space="preserve">Effective tax drag on asset value</t>
  </si>
  <si>
    <t xml:space="preserve">Low because large tax pools remain from the Grande Prairie disposition. A full model would schedule the pools explicitly.</t>
  </si>
  <si>
    <t xml:space="preserve">Asset-by-Asset Net Asset Value</t>
  </si>
  <si>
    <t xml:space="preserve">Closed-form annuities. Every value is live to the Assumptions sheet.</t>
  </si>
  <si>
    <t xml:space="preserve">WILLESDEN GREEN</t>
  </si>
  <si>
    <t xml:space="preserve">Producing base — declining annuity (C$mm)</t>
  </si>
  <si>
    <t xml:space="preserve">Q x 365 x netback / (r + d).</t>
  </si>
  <si>
    <t xml:space="preserve">Drilling programme — level annuity (C$mm)</t>
  </si>
  <si>
    <t xml:space="preserve">Wells per year x risked net present value per well, as a 20-year annuity.</t>
  </si>
  <si>
    <t xml:space="preserve">Willesden Green total (C$mm)</t>
  </si>
  <si>
    <t xml:space="preserve">SINCLAIR</t>
  </si>
  <si>
    <t xml:space="preserve">Annual cash flow at plateau (C$mm)</t>
  </si>
  <si>
    <t xml:space="preserve">Net of the maintenance capital needed to hold the plateau.</t>
  </si>
  <si>
    <t xml:space="preserve">Value at first gas: plateau annuity plus declining tail (C$mm)</t>
  </si>
  <si>
    <t xml:space="preserve">Level annuity across the plateau years, then a declining perpetuity discounted back.</t>
  </si>
  <si>
    <t xml:space="preserve">Discounted to today (C$mm)</t>
  </si>
  <si>
    <t xml:space="preserve">Start-up delay plus half the ramp period.</t>
  </si>
  <si>
    <t xml:space="preserve">Less: remaining construction capital (C$mm)</t>
  </si>
  <si>
    <t xml:space="preserve">Sinclair total, risked (C$mm)</t>
  </si>
  <si>
    <t xml:space="preserve">Risk factor applied to the net project value, not to the gross cash flow.</t>
  </si>
  <si>
    <t xml:space="preserve">KAYBOB, LAND AND CORPORATE</t>
  </si>
  <si>
    <t xml:space="preserve">Kaybob — declining annuity net of maintenance (C$mm)</t>
  </si>
  <si>
    <t xml:space="preserve">Undeveloped land (C$mm)</t>
  </si>
  <si>
    <t xml:space="preserve">Corporate overhead — perpetuity (C$mm)</t>
  </si>
  <si>
    <t xml:space="preserve">Capitalised head office cost. Frequently omitted, which flatters NAV.</t>
  </si>
  <si>
    <t xml:space="preserve">Abandonment beyond reserves (C$mm)</t>
  </si>
  <si>
    <t xml:space="preserve">ROLL-UP</t>
  </si>
  <si>
    <t xml:space="preserve">Gross asset value before tax (C$mm)</t>
  </si>
  <si>
    <t xml:space="preserve">Less: tax drag (C$mm)</t>
  </si>
  <si>
    <t xml:space="preserve">After-tax asset value (C$mm)</t>
  </si>
  <si>
    <t xml:space="preserve">Plus: net cash and investments (C$mm)</t>
  </si>
  <si>
    <t xml:space="preserve">NET ASSET VALUE (C$mm)</t>
  </si>
  <si>
    <t xml:space="preserve">NAV per share (C$)</t>
  </si>
  <si>
    <t xml:space="preserve">Price / NAV</t>
  </si>
  <si>
    <t xml:space="preserve">Above 1.0x means the market pays more than this model supports.</t>
  </si>
  <si>
    <t xml:space="preserve">Upside / (downside) to NAV</t>
  </si>
  <si>
    <t xml:space="preserve">Valuation Summary</t>
  </si>
  <si>
    <t xml:space="preserve">Sum of the parts, contribution by asset, and live sensitivity to the two assumptions that matter most.</t>
  </si>
  <si>
    <t xml:space="preserve">SUM OF THE PARTS</t>
  </si>
  <si>
    <t xml:space="preserve">Asset</t>
  </si>
  <si>
    <t xml:space="preserve">C$mm</t>
  </si>
  <si>
    <t xml:space="preserve">C$/share</t>
  </si>
  <si>
    <t xml:space="preserve">% of gross</t>
  </si>
  <si>
    <t xml:space="preserve">Sinclair (risked)</t>
  </si>
  <si>
    <t xml:space="preserve">Undeveloped land</t>
  </si>
  <si>
    <t xml:space="preserve">Corporate overhead</t>
  </si>
  <si>
    <t xml:space="preserve">Abandonment</t>
  </si>
  <si>
    <t xml:space="preserve">Gross asset value</t>
  </si>
  <si>
    <t xml:space="preserve">Tax drag</t>
  </si>
  <si>
    <t xml:space="preserve">Net cash and investments</t>
  </si>
  <si>
    <t xml:space="preserve">NET ASSET VALUE</t>
  </si>
  <si>
    <t xml:space="preserve">VERSUS THE MARKET</t>
  </si>
  <si>
    <t xml:space="preserve">Compare with 1.46x against before-tax 2P NPV10 in the Data Book. This NAV adds land and Sinclair upside but deducts tax, overhead and abandonment.</t>
  </si>
  <si>
    <t xml:space="preserve">Upside / (downside)</t>
  </si>
  <si>
    <t xml:space="preserve">SENSITIVITY — NAV PER SHARE (C$)</t>
  </si>
  <si>
    <t xml:space="preserve">WTI (US$/Bbl)  \  Sinclair execution risk</t>
  </si>
  <si>
    <t xml:space="preserve">Cells shaded nothing: read against the current share price above. The grid is live — change any Assumptions input and it moves.</t>
  </si>
  <si>
    <t xml:space="preserve">HOW TO READ THIS</t>
  </si>
  <si>
    <t xml:space="preserve">1. Look at the share of gross value coming from Sinclair. If it is large, this is not a producing-company valuation — it is a bet on one project being delivered on time.</t>
  </si>
  <si>
    <t xml:space="preserve">2. Compare NAV per share to the C$32.65 market price. A price above NAV means the market is more optimistic than these assumptions.</t>
  </si>
  <si>
    <t xml:space="preserve">3. Find the combination of WTI and execution risk that justifies today's price. State it explicitly. That combination IS the market's implied view, and agreeing or disagreeing with it is the investment thesis.</t>
  </si>
</sst>
</file>

<file path=xl/styles.xml><?xml version="1.0" encoding="utf-8"?>
<styleSheet xmlns="http://schemas.openxmlformats.org/spreadsheetml/2006/main">
  <numFmts count="11">
    <numFmt numFmtId="164" formatCode="General"/>
    <numFmt numFmtId="165" formatCode="\$#,##0.00;&quot;($&quot;#,##0.00\);\-"/>
    <numFmt numFmtId="166" formatCode="0.000"/>
    <numFmt numFmtId="167" formatCode="0%"/>
    <numFmt numFmtId="168" formatCode="0.0%"/>
    <numFmt numFmtId="169" formatCode="#,##0.0;\(#,##0.0\);\-"/>
    <numFmt numFmtId="170" formatCode="#,##0;\(#,##0\);\-"/>
    <numFmt numFmtId="171" formatCode="0.00"/>
    <numFmt numFmtId="172" formatCode="\$#,##0.0;&quot;($&quot;#,##0.0\);\-"/>
    <numFmt numFmtId="173" formatCode="\$#,##0;&quot;($&quot;#,##0\);\-"/>
    <numFmt numFmtId="174" formatCode="0.00\x"/>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0"/>
      <color rgb="FF1F3864"/>
      <name val="Arial"/>
      <family val="0"/>
      <charset val="1"/>
    </font>
    <font>
      <b val="true"/>
      <sz val="10"/>
      <name val="Arial"/>
      <family val="0"/>
      <charset val="1"/>
    </font>
    <font>
      <sz val="10"/>
      <name val="Arial"/>
      <family val="0"/>
      <charset val="1"/>
    </font>
    <font>
      <sz val="10"/>
      <color rgb="FF0000FF"/>
      <name val="Arial"/>
      <family val="0"/>
      <charset val="1"/>
    </font>
    <font>
      <b val="true"/>
      <sz val="10"/>
      <color rgb="FFFFFFFF"/>
      <name val="Arial"/>
      <family val="0"/>
      <charset val="1"/>
    </font>
    <font>
      <sz val="10"/>
      <color rgb="FF008000"/>
      <name val="Arial"/>
      <family val="0"/>
      <charset val="1"/>
    </font>
  </fonts>
  <fills count="6">
    <fill>
      <patternFill patternType="none"/>
    </fill>
    <fill>
      <patternFill patternType="gray125"/>
    </fill>
    <fill>
      <patternFill patternType="solid">
        <fgColor rgb="FFD9E2F3"/>
        <bgColor rgb="FFE2EFDA"/>
      </patternFill>
    </fill>
    <fill>
      <patternFill patternType="solid">
        <fgColor rgb="FFFFFF00"/>
        <bgColor rgb="FFFFFF00"/>
      </patternFill>
    </fill>
    <fill>
      <patternFill patternType="solid">
        <fgColor rgb="FF1F3864"/>
        <bgColor rgb="FF333399"/>
      </patternFill>
    </fill>
    <fill>
      <patternFill patternType="solid">
        <fgColor rgb="FFE2EFDA"/>
        <bgColor rgb="FFD9E2F3"/>
      </patternFill>
    </fill>
  </fills>
  <borders count="2">
    <border diagonalUp="false" diagonalDown="false">
      <left/>
      <right/>
      <top/>
      <bottom/>
      <diagonal/>
    </border>
    <border diagonalUp="false" diagonalDown="false">
      <left/>
      <right/>
      <top style="thin">
        <color rgb="FF404040"/>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6" fontId="9" fillId="3" borderId="0" xfId="0" applyFont="true" applyBorder="false" applyAlignment="false" applyProtection="false">
      <alignment horizontal="general" vertical="bottom" textRotation="0" wrapText="false" indent="0" shrinkToFit="false"/>
      <protection locked="true" hidden="false"/>
    </xf>
    <xf numFmtId="167" fontId="9" fillId="3" borderId="0" xfId="0" applyFont="true" applyBorder="false" applyAlignment="false" applyProtection="false">
      <alignment horizontal="general" vertical="bottom" textRotation="0" wrapText="false" indent="0" shrinkToFit="false"/>
      <protection locked="true" hidden="false"/>
    </xf>
    <xf numFmtId="168" fontId="9" fillId="3"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right"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7" fillId="5" borderId="1" xfId="0" applyFont="true" applyBorder="tru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71" fontId="9" fillId="3" borderId="0" xfId="0" applyFont="true" applyBorder="false" applyAlignment="false" applyProtection="false">
      <alignment horizontal="general" vertical="bottom" textRotation="0" wrapText="false" indent="0" shrinkToFit="false"/>
      <protection locked="true" hidden="false"/>
    </xf>
    <xf numFmtId="172" fontId="9" fillId="3" borderId="0" xfId="0" applyFont="true" applyBorder="false" applyAlignment="false" applyProtection="false">
      <alignment horizontal="general" vertical="bottom" textRotation="0" wrapText="false" indent="0" shrinkToFit="false"/>
      <protection locked="true" hidden="false"/>
    </xf>
    <xf numFmtId="172" fontId="8" fillId="5" borderId="0" xfId="0" applyFont="true" applyBorder="false" applyAlignment="false" applyProtection="false">
      <alignment horizontal="general" vertical="bottom" textRotation="0" wrapText="false" indent="0" shrinkToFit="false"/>
      <protection locked="true" hidden="false"/>
    </xf>
    <xf numFmtId="170" fontId="9" fillId="3" borderId="0" xfId="0" applyFont="true" applyBorder="false" applyAlignment="false" applyProtection="false">
      <alignment horizontal="general" vertical="bottom" textRotation="0" wrapText="false" indent="0" shrinkToFit="false"/>
      <protection locked="true" hidden="false"/>
    </xf>
    <xf numFmtId="173" fontId="9" fillId="3" borderId="0" xfId="0" applyFont="true" applyBorder="false" applyAlignment="false" applyProtection="false">
      <alignment horizontal="general" vertical="bottom" textRotation="0" wrapText="false" indent="0" shrinkToFit="false"/>
      <protection locked="true" hidden="false"/>
    </xf>
    <xf numFmtId="169" fontId="9" fillId="3" borderId="0" xfId="0" applyFont="true" applyBorder="false" applyAlignment="false" applyProtection="false">
      <alignment horizontal="general" vertical="bottom" textRotation="0" wrapText="false" indent="0" shrinkToFit="false"/>
      <protection locked="true" hidden="false"/>
    </xf>
    <xf numFmtId="173" fontId="9" fillId="0" borderId="0" xfId="0" applyFont="true" applyBorder="false" applyAlignment="false" applyProtection="false">
      <alignment horizontal="general" vertical="bottom" textRotation="0" wrapText="false" indent="0" shrinkToFit="false"/>
      <protection locked="true" hidden="false"/>
    </xf>
    <xf numFmtId="173" fontId="8" fillId="0" borderId="0" xfId="0" applyFont="true" applyBorder="false" applyAlignment="false" applyProtection="false">
      <alignment horizontal="general" vertical="bottom" textRotation="0" wrapText="false" indent="0" shrinkToFit="false"/>
      <protection locked="true" hidden="false"/>
    </xf>
    <xf numFmtId="173" fontId="7" fillId="5"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false" applyProtection="false">
      <alignment horizontal="general" vertical="bottom" textRotation="0" wrapText="false" indent="0" shrinkToFit="false"/>
      <protection locked="true" hidden="false"/>
    </xf>
    <xf numFmtId="173" fontId="7" fillId="3"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74" fontId="7" fillId="3" borderId="1" xfId="0" applyFont="true" applyBorder="true" applyAlignment="false" applyProtection="false">
      <alignment horizontal="general" vertical="bottom" textRotation="0" wrapText="false" indent="0" shrinkToFit="false"/>
      <protection locked="true" hidden="false"/>
    </xf>
    <xf numFmtId="168" fontId="7" fillId="3" borderId="1" xfId="0" applyFont="true" applyBorder="tru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73" fontId="11"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5" fontId="11" fillId="3" borderId="0" xfId="0" applyFont="true" applyBorder="false" applyAlignment="false" applyProtection="false">
      <alignment horizontal="general" vertical="bottom" textRotation="0" wrapText="false" indent="0" shrinkToFit="false"/>
      <protection locked="true" hidden="false"/>
    </xf>
    <xf numFmtId="174" fontId="11" fillId="3" borderId="0" xfId="0" applyFont="true" applyBorder="false" applyAlignment="false" applyProtection="false">
      <alignment horizontal="general" vertical="bottom" textRotation="0" wrapText="false" indent="0" shrinkToFit="false"/>
      <protection locked="true" hidden="false"/>
    </xf>
    <xf numFmtId="168" fontId="11" fillId="3" borderId="0" xfId="0" applyFont="true" applyBorder="false" applyAlignment="fals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right" vertical="bottom" textRotation="0" wrapText="false" indent="0" shrinkToFit="false"/>
      <protection locked="true" hidden="false"/>
    </xf>
    <xf numFmtId="173" fontId="10" fillId="4"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4"/>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43.5" hidden="false" customHeight="true" outlineLevel="0" collapsed="false">
      <c r="A5" s="5" t="s">
        <v>3</v>
      </c>
      <c r="B5" s="6" t="s">
        <v>4</v>
      </c>
    </row>
    <row r="6" customFormat="false" ht="43.5" hidden="false" customHeight="true" outlineLevel="0" collapsed="false">
      <c r="A6" s="5" t="s">
        <v>5</v>
      </c>
      <c r="B6" s="6" t="s">
        <v>6</v>
      </c>
    </row>
    <row r="7" customFormat="false" ht="43.5" hidden="false" customHeight="true" outlineLevel="0" collapsed="false">
      <c r="A7" s="5" t="s">
        <v>7</v>
      </c>
      <c r="B7" s="6" t="s">
        <v>8</v>
      </c>
    </row>
    <row r="8" customFormat="false" ht="30" hidden="false" customHeight="true" outlineLevel="0" collapsed="false">
      <c r="A8" s="5" t="s">
        <v>9</v>
      </c>
      <c r="B8" s="6" t="s">
        <v>10</v>
      </c>
    </row>
    <row r="9" customFormat="false" ht="30" hidden="false" customHeight="true" outlineLevel="0" collapsed="false">
      <c r="A9" s="5" t="s">
        <v>11</v>
      </c>
      <c r="B9" s="6" t="s">
        <v>12</v>
      </c>
    </row>
    <row r="10" customFormat="false" ht="30" hidden="false" customHeight="true" outlineLevel="0" collapsed="false">
      <c r="A10" s="5" t="s">
        <v>13</v>
      </c>
      <c r="B10" s="6" t="s">
        <v>14</v>
      </c>
    </row>
    <row r="12" customFormat="false" ht="15" hidden="false" customHeight="false" outlineLevel="0" collapsed="false">
      <c r="A12" s="3" t="s">
        <v>15</v>
      </c>
      <c r="B12" s="4"/>
    </row>
    <row r="13" customFormat="false" ht="30" hidden="false" customHeight="true" outlineLevel="0" collapsed="false">
      <c r="A13" s="5" t="s">
        <v>16</v>
      </c>
      <c r="B13" s="6" t="s">
        <v>17</v>
      </c>
    </row>
    <row r="14" customFormat="false" ht="30" hidden="false" customHeight="true" outlineLevel="0" collapsed="false">
      <c r="A14" s="5" t="s">
        <v>18</v>
      </c>
      <c r="B14" s="6" t="s">
        <v>19</v>
      </c>
    </row>
    <row r="16" customFormat="false" ht="15" hidden="false" customHeight="false" outlineLevel="0" collapsed="false">
      <c r="A16" s="3" t="s">
        <v>20</v>
      </c>
      <c r="B16" s="4"/>
    </row>
    <row r="17" customFormat="false" ht="27.75" hidden="false" customHeight="true" outlineLevel="0" collapsed="false">
      <c r="A17" s="7" t="s">
        <v>21</v>
      </c>
      <c r="B17" s="7"/>
    </row>
    <row r="18" customFormat="false" ht="27.75" hidden="false" customHeight="true" outlineLevel="0" collapsed="false">
      <c r="A18" s="7" t="s">
        <v>22</v>
      </c>
      <c r="B18" s="7"/>
    </row>
    <row r="19" customFormat="false" ht="27.75" hidden="false" customHeight="true" outlineLevel="0" collapsed="false">
      <c r="A19" s="7" t="s">
        <v>23</v>
      </c>
      <c r="B19" s="7"/>
    </row>
    <row r="20" customFormat="false" ht="27.75" hidden="false" customHeight="true" outlineLevel="0" collapsed="false">
      <c r="A20" s="7" t="s">
        <v>24</v>
      </c>
      <c r="B20" s="7"/>
    </row>
    <row r="22" customFormat="false" ht="15" hidden="false" customHeight="false" outlineLevel="0" collapsed="false">
      <c r="A22" s="2" t="s">
        <v>25</v>
      </c>
    </row>
  </sheetData>
  <mergeCells count="4">
    <mergeCell ref="A17:B17"/>
    <mergeCell ref="A18:B18"/>
    <mergeCell ref="A19:B19"/>
    <mergeCell ref="A20:B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3"/>
    <col collapsed="false" customWidth="true" hidden="false" outlineLevel="0" max="4" min="4" style="0" width="2"/>
    <col collapsed="false" customWidth="true" hidden="false" outlineLevel="0" max="5" min="5" style="0" width="58"/>
  </cols>
  <sheetData>
    <row r="1" customFormat="false" ht="17.35" hidden="false" customHeight="false" outlineLevel="0" collapsed="false">
      <c r="A1" s="1" t="s">
        <v>26</v>
      </c>
    </row>
    <row r="2" customFormat="false" ht="15" hidden="false" customHeight="false" outlineLevel="0" collapsed="false">
      <c r="A2" s="2" t="s">
        <v>27</v>
      </c>
    </row>
    <row r="4" customFormat="false" ht="15" hidden="false" customHeight="false" outlineLevel="0" collapsed="false">
      <c r="A4" s="3" t="s">
        <v>28</v>
      </c>
      <c r="B4" s="4"/>
      <c r="C4" s="4"/>
      <c r="D4" s="4"/>
      <c r="E4" s="4"/>
      <c r="F4" s="4"/>
      <c r="G4" s="4"/>
    </row>
    <row r="5" customFormat="false" ht="27.75" hidden="false" customHeight="true" outlineLevel="0" collapsed="false">
      <c r="A5" s="8" t="s">
        <v>29</v>
      </c>
      <c r="B5" s="9" t="n">
        <v>80</v>
      </c>
      <c r="E5" s="10" t="s">
        <v>30</v>
      </c>
    </row>
    <row r="6" customFormat="false" ht="15" hidden="false" customHeight="false" outlineLevel="0" collapsed="false">
      <c r="A6" s="8" t="s">
        <v>31</v>
      </c>
      <c r="B6" s="11" t="n">
        <v>1.36</v>
      </c>
    </row>
    <row r="7" customFormat="false" ht="23.85" hidden="false" customHeight="false" outlineLevel="0" collapsed="false">
      <c r="A7" s="8" t="s">
        <v>32</v>
      </c>
      <c r="B7" s="9" t="n">
        <v>4.33</v>
      </c>
      <c r="E7" s="10" t="s">
        <v>33</v>
      </c>
    </row>
    <row r="8" customFormat="false" ht="15" hidden="false" customHeight="false" outlineLevel="0" collapsed="false">
      <c r="A8" s="8" t="s">
        <v>34</v>
      </c>
      <c r="B8" s="12" t="n">
        <v>0.32</v>
      </c>
    </row>
    <row r="9" customFormat="false" ht="15" hidden="false" customHeight="false" outlineLevel="0" collapsed="false">
      <c r="A9" s="8" t="s">
        <v>35</v>
      </c>
      <c r="B9" s="13" t="n">
        <v>0.1</v>
      </c>
      <c r="E9" s="10" t="s">
        <v>36</v>
      </c>
    </row>
    <row r="10" customFormat="false" ht="15" hidden="false" customHeight="false" outlineLevel="0" collapsed="false">
      <c r="A10" s="8" t="s">
        <v>37</v>
      </c>
      <c r="B10" s="14" t="n">
        <v>145.8</v>
      </c>
    </row>
    <row r="11" customFormat="false" ht="15" hidden="false" customHeight="false" outlineLevel="0" collapsed="false">
      <c r="A11" s="8" t="s">
        <v>38</v>
      </c>
      <c r="B11" s="9" t="n">
        <v>32.65</v>
      </c>
    </row>
    <row r="13" customFormat="false" ht="15" hidden="false" customHeight="false" outlineLevel="0" collapsed="false">
      <c r="A13" s="3" t="s">
        <v>39</v>
      </c>
      <c r="B13" s="4"/>
      <c r="C13" s="4"/>
      <c r="D13" s="4"/>
      <c r="E13" s="4"/>
      <c r="F13" s="4"/>
      <c r="G13" s="4"/>
    </row>
    <row r="14" customFormat="false" ht="15" hidden="false" customHeight="false" outlineLevel="0" collapsed="false">
      <c r="A14" s="15"/>
      <c r="B14" s="16" t="s">
        <v>40</v>
      </c>
      <c r="C14" s="16" t="s">
        <v>7</v>
      </c>
      <c r="D14" s="16" t="s">
        <v>9</v>
      </c>
    </row>
    <row r="15" customFormat="false" ht="27.75" hidden="false" customHeight="true" outlineLevel="0" collapsed="false">
      <c r="A15" s="8" t="s">
        <v>41</v>
      </c>
      <c r="B15" s="12" t="n">
        <v>0.55</v>
      </c>
      <c r="C15" s="12" t="n">
        <v>0.1</v>
      </c>
      <c r="D15" s="12" t="n">
        <v>0.4</v>
      </c>
      <c r="E15" s="10" t="s">
        <v>42</v>
      </c>
    </row>
    <row r="16" customFormat="false" ht="15" hidden="false" customHeight="false" outlineLevel="0" collapsed="false">
      <c r="A16" s="8" t="s">
        <v>43</v>
      </c>
      <c r="B16" s="12" t="n">
        <v>0.8</v>
      </c>
      <c r="C16" s="12" t="n">
        <v>0.75</v>
      </c>
      <c r="D16" s="12" t="n">
        <v>0.7</v>
      </c>
    </row>
    <row r="17" customFormat="false" ht="27.75" hidden="false" customHeight="true" outlineLevel="0" collapsed="false">
      <c r="A17" s="8" t="s">
        <v>44</v>
      </c>
      <c r="B17" s="9" t="n">
        <v>4.71</v>
      </c>
      <c r="C17" s="9" t="n">
        <v>4</v>
      </c>
      <c r="D17" s="9" t="n">
        <v>11</v>
      </c>
      <c r="E17" s="10" t="s">
        <v>45</v>
      </c>
    </row>
    <row r="18" customFormat="false" ht="15" hidden="false" customHeight="false" outlineLevel="0" collapsed="false">
      <c r="A18" s="8" t="s">
        <v>46</v>
      </c>
      <c r="B18" s="9" t="n">
        <v>4.75</v>
      </c>
      <c r="C18" s="9" t="n">
        <v>4.5</v>
      </c>
      <c r="D18" s="9" t="n">
        <v>5</v>
      </c>
    </row>
    <row r="19" customFormat="false" ht="15" hidden="false" customHeight="false" outlineLevel="0" collapsed="false">
      <c r="A19" s="8" t="s">
        <v>47</v>
      </c>
      <c r="B19" s="12" t="n">
        <v>0.06</v>
      </c>
      <c r="C19" s="12" t="n">
        <v>0.06</v>
      </c>
      <c r="D19" s="12" t="n">
        <v>0.08</v>
      </c>
    </row>
    <row r="21" customFormat="false" ht="15" hidden="false" customHeight="false" outlineLevel="0" collapsed="false">
      <c r="A21" s="3" t="s">
        <v>48</v>
      </c>
      <c r="B21" s="4"/>
      <c r="C21" s="4"/>
      <c r="D21" s="4"/>
      <c r="E21" s="4"/>
      <c r="F21" s="4"/>
      <c r="G21" s="4"/>
    </row>
    <row r="22" customFormat="false" ht="15" hidden="false" customHeight="false" outlineLevel="0" collapsed="false">
      <c r="A22" s="15"/>
      <c r="B22" s="16" t="s">
        <v>40</v>
      </c>
      <c r="C22" s="16" t="s">
        <v>7</v>
      </c>
      <c r="D22" s="16" t="s">
        <v>9</v>
      </c>
    </row>
    <row r="23" customFormat="false" ht="15" hidden="false" customHeight="false" outlineLevel="0" collapsed="false">
      <c r="A23" s="8" t="s">
        <v>49</v>
      </c>
      <c r="B23" s="17" t="n">
        <f aca="false">Assumptions!$B$5*Assumptions!$B$6</f>
        <v>108.8</v>
      </c>
      <c r="C23" s="17" t="n">
        <f aca="false">Assumptions!$B$5*Assumptions!$B$6</f>
        <v>108.8</v>
      </c>
      <c r="D23" s="17" t="n">
        <f aca="false">Assumptions!$B$5*Assumptions!$B$6</f>
        <v>108.8</v>
      </c>
    </row>
    <row r="24" customFormat="false" ht="27.75" hidden="false" customHeight="true" outlineLevel="0" collapsed="false">
      <c r="A24" s="8" t="s">
        <v>50</v>
      </c>
      <c r="B24" s="17" t="n">
        <f aca="false">B15*B16*B23+B15*(1-B16)*B23*Assumptions!$B$8+(1-B15)*6*Assumptions!$B$7</f>
        <v>63.39276</v>
      </c>
      <c r="C24" s="17" t="n">
        <f aca="false">C15*C16*C23+C15*(1-C16)*C23*Assumptions!$B$8+(1-C15)*6*Assumptions!$B$7</f>
        <v>32.4124</v>
      </c>
      <c r="D24" s="17" t="n">
        <f aca="false">D15*D16*D23+D15*(1-D16)*D23*Assumptions!$B$8+(1-D15)*6*Assumptions!$B$7</f>
        <v>50.22992</v>
      </c>
      <c r="E24" s="10" t="s">
        <v>51</v>
      </c>
    </row>
    <row r="25" customFormat="false" ht="15" hidden="false" customHeight="false" outlineLevel="0" collapsed="false">
      <c r="A25" s="5" t="s">
        <v>52</v>
      </c>
      <c r="B25" s="18" t="n">
        <f aca="false">B24*(1-B19)-B17-B18</f>
        <v>50.1291944</v>
      </c>
      <c r="C25" s="18" t="n">
        <f aca="false">C24*(1-C19)-C17-C18</f>
        <v>21.967656</v>
      </c>
      <c r="D25" s="18" t="n">
        <f aca="false">D24*(1-D19)-D17-D18</f>
        <v>30.2115264</v>
      </c>
      <c r="E25" s="10" t="s">
        <v>53</v>
      </c>
    </row>
    <row r="27" customFormat="false" ht="15" hidden="false" customHeight="false" outlineLevel="0" collapsed="false">
      <c r="A27" s="3" t="s">
        <v>54</v>
      </c>
      <c r="B27" s="4"/>
      <c r="C27" s="4"/>
      <c r="D27" s="4"/>
      <c r="E27" s="4"/>
      <c r="F27" s="4"/>
      <c r="G27" s="4"/>
    </row>
    <row r="28" customFormat="false" ht="15" hidden="false" customHeight="false" outlineLevel="0" collapsed="false">
      <c r="A28" s="8" t="s">
        <v>55</v>
      </c>
      <c r="B28" s="19" t="n">
        <v>27466</v>
      </c>
      <c r="E28" s="10" t="s">
        <v>56</v>
      </c>
    </row>
    <row r="29" customFormat="false" ht="27.75" hidden="false" customHeight="true" outlineLevel="0" collapsed="false">
      <c r="A29" s="8" t="s">
        <v>57</v>
      </c>
      <c r="B29" s="13" t="n">
        <v>0.28</v>
      </c>
      <c r="E29" s="10" t="s">
        <v>58</v>
      </c>
    </row>
    <row r="30" customFormat="false" ht="15" hidden="false" customHeight="false" outlineLevel="0" collapsed="false">
      <c r="A30" s="8" t="s">
        <v>59</v>
      </c>
      <c r="B30" s="19" t="n">
        <v>1441</v>
      </c>
      <c r="E30" s="10" t="s">
        <v>60</v>
      </c>
    </row>
    <row r="31" customFormat="false" ht="27.75" hidden="false" customHeight="true" outlineLevel="0" collapsed="false">
      <c r="A31" s="8" t="s">
        <v>61</v>
      </c>
      <c r="B31" s="20" t="n">
        <v>0.57</v>
      </c>
      <c r="E31" s="10" t="s">
        <v>62</v>
      </c>
    </row>
    <row r="32" customFormat="false" ht="27.75" hidden="false" customHeight="true" outlineLevel="0" collapsed="false">
      <c r="A32" s="8" t="s">
        <v>63</v>
      </c>
      <c r="B32" s="21" t="n">
        <v>18</v>
      </c>
      <c r="E32" s="10" t="s">
        <v>64</v>
      </c>
    </row>
    <row r="33" customFormat="false" ht="23.85" hidden="false" customHeight="false" outlineLevel="0" collapsed="false">
      <c r="A33" s="8" t="s">
        <v>65</v>
      </c>
      <c r="B33" s="22" t="n">
        <f aca="false">Assumptions!$B$30*1000*B25*Assumptions!$B$31/1000000-Assumptions!$B$32</f>
        <v>23.174616404328</v>
      </c>
      <c r="E33" s="10" t="s">
        <v>66</v>
      </c>
    </row>
    <row r="34" customFormat="false" ht="27.75" hidden="false" customHeight="true" outlineLevel="0" collapsed="false">
      <c r="A34" s="8" t="s">
        <v>67</v>
      </c>
      <c r="B34" s="19" t="n">
        <v>16</v>
      </c>
      <c r="E34" s="10" t="s">
        <v>68</v>
      </c>
    </row>
    <row r="35" customFormat="false" ht="15" hidden="false" customHeight="false" outlineLevel="0" collapsed="false">
      <c r="A35" s="8" t="s">
        <v>69</v>
      </c>
      <c r="B35" s="23" t="n">
        <v>20</v>
      </c>
      <c r="E35" s="10" t="s">
        <v>70</v>
      </c>
    </row>
    <row r="36" customFormat="false" ht="15" hidden="false" customHeight="false" outlineLevel="0" collapsed="false">
      <c r="A36" s="8" t="s">
        <v>71</v>
      </c>
      <c r="B36" s="12" t="n">
        <v>0.8</v>
      </c>
      <c r="E36" s="10" t="s">
        <v>72</v>
      </c>
    </row>
    <row r="38" customFormat="false" ht="15" hidden="false" customHeight="false" outlineLevel="0" collapsed="false">
      <c r="A38" s="3" t="s">
        <v>73</v>
      </c>
      <c r="B38" s="4"/>
      <c r="C38" s="4"/>
      <c r="D38" s="4"/>
      <c r="E38" s="4"/>
      <c r="F38" s="4"/>
      <c r="G38" s="4"/>
    </row>
    <row r="39" customFormat="false" ht="15" hidden="false" customHeight="false" outlineLevel="0" collapsed="false">
      <c r="A39" s="8" t="s">
        <v>74</v>
      </c>
      <c r="B39" s="19" t="n">
        <v>55000</v>
      </c>
      <c r="E39" s="10" t="s">
        <v>75</v>
      </c>
    </row>
    <row r="40" customFormat="false" ht="27.75" hidden="false" customHeight="true" outlineLevel="0" collapsed="false">
      <c r="A40" s="8" t="s">
        <v>76</v>
      </c>
      <c r="B40" s="23" t="n">
        <v>10</v>
      </c>
      <c r="E40" s="10" t="s">
        <v>77</v>
      </c>
    </row>
    <row r="41" customFormat="false" ht="15" hidden="false" customHeight="false" outlineLevel="0" collapsed="false">
      <c r="A41" s="8" t="s">
        <v>78</v>
      </c>
      <c r="B41" s="13" t="n">
        <v>0.15</v>
      </c>
    </row>
    <row r="42" customFormat="false" ht="23.85" hidden="false" customHeight="false" outlineLevel="0" collapsed="false">
      <c r="A42" s="8" t="s">
        <v>79</v>
      </c>
      <c r="B42" s="24" t="n">
        <v>800</v>
      </c>
      <c r="E42" s="10" t="s">
        <v>80</v>
      </c>
    </row>
    <row r="43" customFormat="false" ht="15" hidden="false" customHeight="false" outlineLevel="0" collapsed="false">
      <c r="A43" s="8" t="s">
        <v>81</v>
      </c>
      <c r="B43" s="25" t="n">
        <v>1.4</v>
      </c>
      <c r="E43" s="10" t="s">
        <v>82</v>
      </c>
    </row>
    <row r="44" customFormat="false" ht="15" hidden="false" customHeight="false" outlineLevel="0" collapsed="false">
      <c r="A44" s="8" t="s">
        <v>83</v>
      </c>
      <c r="B44" s="25" t="n">
        <v>2</v>
      </c>
    </row>
    <row r="45" customFormat="false" ht="15" hidden="false" customHeight="false" outlineLevel="0" collapsed="false">
      <c r="A45" s="8" t="s">
        <v>84</v>
      </c>
      <c r="B45" s="12" t="n">
        <v>0.3</v>
      </c>
      <c r="E45" s="10" t="s">
        <v>85</v>
      </c>
    </row>
    <row r="46" customFormat="false" ht="27.75" hidden="false" customHeight="true" outlineLevel="0" collapsed="false">
      <c r="A46" s="8" t="s">
        <v>86</v>
      </c>
      <c r="B46" s="12" t="n">
        <v>0.7</v>
      </c>
      <c r="E46" s="10" t="s">
        <v>87</v>
      </c>
    </row>
    <row r="48" customFormat="false" ht="15" hidden="false" customHeight="false" outlineLevel="0" collapsed="false">
      <c r="A48" s="3" t="s">
        <v>88</v>
      </c>
      <c r="B48" s="4"/>
      <c r="C48" s="4"/>
      <c r="D48" s="4"/>
      <c r="E48" s="4"/>
      <c r="F48" s="4"/>
      <c r="G48" s="4"/>
    </row>
    <row r="49" customFormat="false" ht="15" hidden="false" customHeight="false" outlineLevel="0" collapsed="false">
      <c r="A49" s="8" t="s">
        <v>89</v>
      </c>
      <c r="B49" s="19" t="n">
        <v>19413</v>
      </c>
      <c r="E49" s="10" t="s">
        <v>56</v>
      </c>
    </row>
    <row r="50" customFormat="false" ht="15" hidden="false" customHeight="false" outlineLevel="0" collapsed="false">
      <c r="A50" s="8" t="s">
        <v>90</v>
      </c>
      <c r="B50" s="13" t="n">
        <v>0.12</v>
      </c>
    </row>
    <row r="51" customFormat="false" ht="15" hidden="false" customHeight="false" outlineLevel="0" collapsed="false">
      <c r="A51" s="8" t="s">
        <v>91</v>
      </c>
      <c r="B51" s="12" t="n">
        <v>0.45</v>
      </c>
      <c r="E51" s="10" t="s">
        <v>92</v>
      </c>
    </row>
    <row r="52" customFormat="false" ht="15" hidden="false" customHeight="false" outlineLevel="0" collapsed="false">
      <c r="A52" s="8" t="s">
        <v>93</v>
      </c>
      <c r="B52" s="19" t="n">
        <v>2349</v>
      </c>
      <c r="E52" s="10" t="s">
        <v>94</v>
      </c>
    </row>
    <row r="53" customFormat="false" ht="27.75" hidden="false" customHeight="true" outlineLevel="0" collapsed="false">
      <c r="A53" s="8" t="s">
        <v>95</v>
      </c>
      <c r="B53" s="24" t="n">
        <v>150</v>
      </c>
      <c r="E53" s="10" t="s">
        <v>96</v>
      </c>
    </row>
    <row r="55" customFormat="false" ht="15" hidden="false" customHeight="false" outlineLevel="0" collapsed="false">
      <c r="A55" s="3" t="s">
        <v>97</v>
      </c>
      <c r="B55" s="4"/>
      <c r="C55" s="4"/>
      <c r="D55" s="4"/>
      <c r="E55" s="4"/>
      <c r="F55" s="4"/>
      <c r="G55" s="4"/>
    </row>
    <row r="56" customFormat="false" ht="15" hidden="false" customHeight="false" outlineLevel="0" collapsed="false">
      <c r="A56" s="8" t="s">
        <v>98</v>
      </c>
      <c r="B56" s="24" t="n">
        <v>60</v>
      </c>
    </row>
    <row r="57" customFormat="false" ht="15" hidden="false" customHeight="false" outlineLevel="0" collapsed="false">
      <c r="A57" s="8" t="s">
        <v>99</v>
      </c>
      <c r="B57" s="26" t="n">
        <v>329.1</v>
      </c>
      <c r="E57" s="10" t="s">
        <v>100</v>
      </c>
    </row>
    <row r="58" customFormat="false" ht="15" hidden="false" customHeight="false" outlineLevel="0" collapsed="false">
      <c r="A58" s="8" t="s">
        <v>101</v>
      </c>
      <c r="B58" s="26" t="n">
        <v>208</v>
      </c>
      <c r="E58" s="10" t="s">
        <v>102</v>
      </c>
    </row>
    <row r="59" customFormat="false" ht="27.75" hidden="false" customHeight="true" outlineLevel="0" collapsed="false">
      <c r="A59" s="8" t="s">
        <v>103</v>
      </c>
      <c r="B59" s="24" t="n">
        <v>300</v>
      </c>
      <c r="E59" s="10" t="s">
        <v>104</v>
      </c>
    </row>
    <row r="60" customFormat="false" ht="27.75" hidden="false" customHeight="true" outlineLevel="0" collapsed="false">
      <c r="A60" s="8" t="s">
        <v>105</v>
      </c>
      <c r="B60" s="13" t="n">
        <v>0.12</v>
      </c>
      <c r="E60" s="10" t="s">
        <v>106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3" min="3" style="0" width="3"/>
    <col collapsed="false" customWidth="true" hidden="false" outlineLevel="0" max="4" min="4" style="0" width="2"/>
    <col collapsed="false" customWidth="true" hidden="false" outlineLevel="0" max="5" min="5" style="0" width="56"/>
  </cols>
  <sheetData>
    <row r="1" customFormat="false" ht="17.35" hidden="false" customHeight="false" outlineLevel="0" collapsed="false">
      <c r="A1" s="1" t="s">
        <v>107</v>
      </c>
    </row>
    <row r="2" customFormat="false" ht="15" hidden="false" customHeight="false" outlineLevel="0" collapsed="false">
      <c r="A2" s="2" t="s">
        <v>108</v>
      </c>
    </row>
    <row r="4" customFormat="false" ht="15" hidden="false" customHeight="false" outlineLevel="0" collapsed="false">
      <c r="A4" s="3" t="s">
        <v>109</v>
      </c>
      <c r="B4" s="4"/>
      <c r="C4" s="4"/>
      <c r="D4" s="4"/>
      <c r="E4" s="4"/>
      <c r="F4" s="4"/>
      <c r="G4" s="4"/>
    </row>
    <row r="5" customFormat="false" ht="15" hidden="false" customHeight="false" outlineLevel="0" collapsed="false">
      <c r="A5" s="8" t="s">
        <v>110</v>
      </c>
      <c r="B5" s="27" t="n">
        <f aca="false">Assumptions!$B$28*365*Assumptions!B25/(Assumptions!$B$9+Assumptions!$B$29)/1000000</f>
        <v>1322.49917233552</v>
      </c>
      <c r="E5" s="10" t="s">
        <v>111</v>
      </c>
    </row>
    <row r="6" customFormat="false" ht="23.85" hidden="false" customHeight="false" outlineLevel="0" collapsed="false">
      <c r="A6" s="8" t="s">
        <v>112</v>
      </c>
      <c r="B6" s="27" t="n">
        <f aca="false">Assumptions!$B$34*Assumptions!$B$33*Assumptions!$B$36*(1-(1+Assumptions!$B$9)^-Assumptions!$B$35)/Assumptions!$B$9</f>
        <v>2525.42174002187</v>
      </c>
      <c r="E6" s="10" t="s">
        <v>113</v>
      </c>
    </row>
    <row r="7" customFormat="false" ht="15" hidden="false" customHeight="false" outlineLevel="0" collapsed="false">
      <c r="A7" s="5" t="s">
        <v>114</v>
      </c>
      <c r="B7" s="28" t="n">
        <f aca="false">B5+B6</f>
        <v>3847.92091235739</v>
      </c>
    </row>
    <row r="9" customFormat="false" ht="15" hidden="false" customHeight="false" outlineLevel="0" collapsed="false">
      <c r="A9" s="3" t="s">
        <v>115</v>
      </c>
      <c r="B9" s="4"/>
      <c r="C9" s="4"/>
      <c r="D9" s="4"/>
      <c r="E9" s="4"/>
      <c r="F9" s="4"/>
      <c r="G9" s="4"/>
    </row>
    <row r="10" customFormat="false" ht="15" hidden="false" customHeight="false" outlineLevel="0" collapsed="false">
      <c r="A10" s="8" t="s">
        <v>116</v>
      </c>
      <c r="B10" s="27" t="n">
        <f aca="false">Assumptions!$B$39*365*Assumptions!C25*(1-Assumptions!$B$45)/1000000</f>
        <v>308.70048594</v>
      </c>
      <c r="E10" s="10" t="s">
        <v>117</v>
      </c>
    </row>
    <row r="11" customFormat="false" ht="27.75" hidden="false" customHeight="true" outlineLevel="0" collapsed="false">
      <c r="A11" s="8" t="s">
        <v>118</v>
      </c>
      <c r="B11" s="27" t="n">
        <f aca="false">B10*(1-(1+Assumptions!$B$9)^-Assumptions!$B$40)/Assumptions!$B$9+B10/(Assumptions!$B$9+Assumptions!$B$41)*(1+Assumptions!$B$9)^-Assumptions!$B$40</f>
        <v>2372.90045461319</v>
      </c>
      <c r="E11" s="10" t="s">
        <v>119</v>
      </c>
    </row>
    <row r="12" customFormat="false" ht="15" hidden="false" customHeight="false" outlineLevel="0" collapsed="false">
      <c r="A12" s="8" t="s">
        <v>120</v>
      </c>
      <c r="B12" s="27" t="n">
        <f aca="false">B11/(1+Assumptions!$B$9)^(Assumptions!$B$43+Assumptions!$B$44/2)</f>
        <v>1887.71781823183</v>
      </c>
      <c r="E12" s="10" t="s">
        <v>121</v>
      </c>
    </row>
    <row r="13" customFormat="false" ht="15" hidden="false" customHeight="false" outlineLevel="0" collapsed="false">
      <c r="A13" s="8" t="s">
        <v>122</v>
      </c>
      <c r="B13" s="27" t="n">
        <f aca="false">-Assumptions!$B$42/(1+Assumptions!$B$9)^(Assumptions!$B$43/2)</f>
        <v>-748.367825033524</v>
      </c>
    </row>
    <row r="14" customFormat="false" ht="23.85" hidden="false" customHeight="false" outlineLevel="0" collapsed="false">
      <c r="A14" s="5" t="s">
        <v>123</v>
      </c>
      <c r="B14" s="28" t="n">
        <f aca="false">(B12+B13)*Assumptions!$B$46</f>
        <v>797.544995238817</v>
      </c>
      <c r="E14" s="10" t="s">
        <v>124</v>
      </c>
    </row>
    <row r="16" customFormat="false" ht="15" hidden="false" customHeight="false" outlineLevel="0" collapsed="false">
      <c r="A16" s="3" t="s">
        <v>125</v>
      </c>
      <c r="B16" s="4"/>
      <c r="C16" s="4"/>
      <c r="D16" s="4"/>
      <c r="E16" s="4"/>
      <c r="F16" s="4"/>
      <c r="G16" s="4"/>
    </row>
    <row r="17" customFormat="false" ht="15" hidden="false" customHeight="false" outlineLevel="0" collapsed="false">
      <c r="A17" s="5" t="s">
        <v>126</v>
      </c>
      <c r="B17" s="28" t="n">
        <f aca="false">Assumptions!$B$49*365*Assumptions!D25*(1-Assumptions!$B$51)/(Assumptions!$B$9+Assumptions!$B$50)/1000000</f>
        <v>535.17793032792</v>
      </c>
    </row>
    <row r="18" customFormat="false" ht="15" hidden="false" customHeight="false" outlineLevel="0" collapsed="false">
      <c r="A18" s="5" t="s">
        <v>127</v>
      </c>
      <c r="B18" s="28" t="n">
        <f aca="false">Assumptions!$B$52*1000*Assumptions!$B$53/1000000</f>
        <v>352.35</v>
      </c>
    </row>
    <row r="19" customFormat="false" ht="15" hidden="false" customHeight="false" outlineLevel="0" collapsed="false">
      <c r="A19" s="8" t="s">
        <v>128</v>
      </c>
      <c r="B19" s="27" t="n">
        <f aca="false">-Assumptions!$B$56/Assumptions!$B$9</f>
        <v>-600</v>
      </c>
      <c r="E19" s="10" t="s">
        <v>129</v>
      </c>
    </row>
    <row r="20" customFormat="false" ht="15" hidden="false" customHeight="false" outlineLevel="0" collapsed="false">
      <c r="A20" s="8" t="s">
        <v>130</v>
      </c>
      <c r="B20" s="27" t="n">
        <f aca="false">-Assumptions!$B$59</f>
        <v>-300</v>
      </c>
    </row>
    <row r="22" customFormat="false" ht="15" hidden="false" customHeight="false" outlineLevel="0" collapsed="false">
      <c r="A22" s="3" t="s">
        <v>131</v>
      </c>
      <c r="B22" s="4"/>
      <c r="C22" s="4"/>
      <c r="D22" s="4"/>
      <c r="E22" s="4"/>
      <c r="F22" s="4"/>
      <c r="G22" s="4"/>
    </row>
    <row r="23" customFormat="false" ht="15" hidden="false" customHeight="false" outlineLevel="0" collapsed="false">
      <c r="A23" s="5" t="s">
        <v>132</v>
      </c>
      <c r="B23" s="29" t="n">
        <f aca="false">B7+B14+B17+B18+B19+B20</f>
        <v>4632.99383792412</v>
      </c>
    </row>
    <row r="24" customFormat="false" ht="15" hidden="false" customHeight="false" outlineLevel="0" collapsed="false">
      <c r="A24" s="8" t="s">
        <v>133</v>
      </c>
      <c r="B24" s="27" t="n">
        <f aca="false">-MAX(0,B23)*Assumptions!$B$60</f>
        <v>-555.959260550895</v>
      </c>
    </row>
    <row r="25" customFormat="false" ht="15" hidden="false" customHeight="false" outlineLevel="0" collapsed="false">
      <c r="A25" s="5" t="s">
        <v>134</v>
      </c>
      <c r="B25" s="29" t="n">
        <f aca="false">B23+B24</f>
        <v>4077.03457737323</v>
      </c>
    </row>
    <row r="26" customFormat="false" ht="15" hidden="false" customHeight="false" outlineLevel="0" collapsed="false">
      <c r="A26" s="8" t="s">
        <v>135</v>
      </c>
      <c r="B26" s="27" t="n">
        <f aca="false">Assumptions!$B$57+Assumptions!$B$58</f>
        <v>537.1</v>
      </c>
    </row>
    <row r="27" customFormat="false" ht="15" hidden="false" customHeight="false" outlineLevel="0" collapsed="false">
      <c r="A27" s="5" t="s">
        <v>136</v>
      </c>
      <c r="B27" s="30" t="n">
        <f aca="false">B25+B26</f>
        <v>4614.13457737323</v>
      </c>
    </row>
    <row r="28" customFormat="false" ht="15" hidden="false" customHeight="false" outlineLevel="0" collapsed="false">
      <c r="A28" s="5" t="s">
        <v>137</v>
      </c>
      <c r="B28" s="31" t="n">
        <f aca="false">B27/Assumptions!$B$10</f>
        <v>31.6470135622306</v>
      </c>
    </row>
    <row r="29" customFormat="false" ht="15" hidden="false" customHeight="false" outlineLevel="0" collapsed="false">
      <c r="A29" s="5" t="s">
        <v>138</v>
      </c>
      <c r="B29" s="32" t="n">
        <f aca="false">Assumptions!$B$11/B28</f>
        <v>1.03169292533076</v>
      </c>
      <c r="E29" s="10" t="s">
        <v>139</v>
      </c>
    </row>
    <row r="30" customFormat="false" ht="15" hidden="false" customHeight="false" outlineLevel="0" collapsed="false">
      <c r="A30" s="5" t="s">
        <v>140</v>
      </c>
      <c r="B30" s="33" t="n">
        <f aca="false">B28/Assumptions!$B$11-1</f>
        <v>-0.0307193395947735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4"/>
    <col collapsed="false" customWidth="true" hidden="false" outlineLevel="0" max="7" min="3" style="0" width="12"/>
    <col collapsed="false" customWidth="true" hidden="false" outlineLevel="0" max="8" min="8" style="0" width="3"/>
    <col collapsed="false" customWidth="true" hidden="false" outlineLevel="0" max="9" min="9" style="0" width="46"/>
  </cols>
  <sheetData>
    <row r="1" customFormat="false" ht="17.35" hidden="false" customHeight="false" outlineLevel="0" collapsed="false">
      <c r="A1" s="1" t="s">
        <v>141</v>
      </c>
    </row>
    <row r="2" customFormat="false" ht="15" hidden="false" customHeight="false" outlineLevel="0" collapsed="false">
      <c r="A2" s="2" t="s">
        <v>142</v>
      </c>
    </row>
    <row r="4" customFormat="false" ht="15" hidden="false" customHeight="false" outlineLevel="0" collapsed="false">
      <c r="A4" s="3" t="s">
        <v>143</v>
      </c>
      <c r="B4" s="4"/>
      <c r="C4" s="4"/>
      <c r="D4" s="4"/>
      <c r="E4" s="4"/>
      <c r="F4" s="4"/>
      <c r="G4" s="4"/>
    </row>
    <row r="5" customFormat="false" ht="15" hidden="false" customHeight="false" outlineLevel="0" collapsed="false">
      <c r="A5" s="15" t="s">
        <v>144</v>
      </c>
      <c r="B5" s="16" t="s">
        <v>145</v>
      </c>
      <c r="C5" s="16" t="s">
        <v>146</v>
      </c>
      <c r="D5" s="16" t="s">
        <v>147</v>
      </c>
      <c r="E5" s="34"/>
      <c r="F5" s="34"/>
      <c r="G5" s="34"/>
    </row>
    <row r="6" customFormat="false" ht="15" hidden="false" customHeight="false" outlineLevel="0" collapsed="false">
      <c r="A6" s="8" t="s">
        <v>5</v>
      </c>
      <c r="B6" s="35" t="n">
        <f aca="false">NAV_Build!B7</f>
        <v>3847.92091235739</v>
      </c>
      <c r="C6" s="17" t="n">
        <f aca="false">B6/Assumptions!$B$10</f>
        <v>26.3917758049203</v>
      </c>
      <c r="D6" s="36" t="n">
        <f aca="false">B6/SUM($B$6:$B$11)</f>
        <v>0.830547384039151</v>
      </c>
    </row>
    <row r="7" customFormat="false" ht="15" hidden="false" customHeight="false" outlineLevel="0" collapsed="false">
      <c r="A7" s="8" t="s">
        <v>148</v>
      </c>
      <c r="B7" s="35" t="n">
        <f aca="false">NAV_Build!B14</f>
        <v>797.544995238817</v>
      </c>
      <c r="C7" s="17" t="n">
        <f aca="false">B7/Assumptions!$B$10</f>
        <v>5.47013028284511</v>
      </c>
      <c r="D7" s="36" t="n">
        <f aca="false">B7/SUM($B$6:$B$11)</f>
        <v>0.17214462680921</v>
      </c>
    </row>
    <row r="8" customFormat="false" ht="15" hidden="false" customHeight="false" outlineLevel="0" collapsed="false">
      <c r="A8" s="8" t="s">
        <v>9</v>
      </c>
      <c r="B8" s="35" t="n">
        <f aca="false">NAV_Build!B17</f>
        <v>535.17793032792</v>
      </c>
      <c r="C8" s="17" t="n">
        <f aca="false">B8/Assumptions!$B$10</f>
        <v>3.67063052351111</v>
      </c>
      <c r="D8" s="36" t="n">
        <f aca="false">B8/SUM($B$6:$B$11)</f>
        <v>0.115514492151303</v>
      </c>
    </row>
    <row r="9" customFormat="false" ht="15" hidden="false" customHeight="false" outlineLevel="0" collapsed="false">
      <c r="A9" s="8" t="s">
        <v>149</v>
      </c>
      <c r="B9" s="35" t="n">
        <f aca="false">NAV_Build!B18</f>
        <v>352.35</v>
      </c>
      <c r="C9" s="17" t="n">
        <f aca="false">B9/Assumptions!$B$10</f>
        <v>2.41666666666667</v>
      </c>
      <c r="D9" s="36" t="n">
        <f aca="false">B9/SUM($B$6:$B$11)</f>
        <v>0.0760523351263241</v>
      </c>
    </row>
    <row r="10" customFormat="false" ht="15" hidden="false" customHeight="false" outlineLevel="0" collapsed="false">
      <c r="A10" s="8" t="s">
        <v>150</v>
      </c>
      <c r="B10" s="35" t="n">
        <f aca="false">NAV_Build!B19</f>
        <v>-600</v>
      </c>
      <c r="C10" s="17" t="n">
        <f aca="false">B10/Assumptions!$B$10</f>
        <v>-4.11522633744856</v>
      </c>
      <c r="D10" s="36" t="n">
        <f aca="false">B10/SUM($B$6:$B$11)</f>
        <v>-0.129505892083992</v>
      </c>
    </row>
    <row r="11" customFormat="false" ht="15" hidden="false" customHeight="false" outlineLevel="0" collapsed="false">
      <c r="A11" s="8" t="s">
        <v>151</v>
      </c>
      <c r="B11" s="35" t="n">
        <f aca="false">NAV_Build!B20</f>
        <v>-300</v>
      </c>
      <c r="C11" s="17" t="n">
        <f aca="false">B11/Assumptions!$B$10</f>
        <v>-2.05761316872428</v>
      </c>
      <c r="D11" s="36" t="n">
        <f aca="false">B11/SUM($B$6:$B$11)</f>
        <v>-0.0647529460419959</v>
      </c>
    </row>
    <row r="12" customFormat="false" ht="15" hidden="false" customHeight="false" outlineLevel="0" collapsed="false">
      <c r="A12" s="5" t="s">
        <v>152</v>
      </c>
      <c r="B12" s="29" t="n">
        <f aca="false">SUM(B6:B11)</f>
        <v>4632.99383792412</v>
      </c>
      <c r="C12" s="37" t="n">
        <f aca="false">SUM(C6:C11)</f>
        <v>31.7763637717704</v>
      </c>
    </row>
    <row r="13" customFormat="false" ht="15" hidden="false" customHeight="false" outlineLevel="0" collapsed="false">
      <c r="A13" s="8" t="s">
        <v>153</v>
      </c>
      <c r="B13" s="35" t="n">
        <f aca="false">NAV_Build!B24</f>
        <v>-555.959260550895</v>
      </c>
      <c r="C13" s="17" t="n">
        <f aca="false">B13/Assumptions!$B$10</f>
        <v>-3.81316365261245</v>
      </c>
    </row>
    <row r="14" customFormat="false" ht="15" hidden="false" customHeight="false" outlineLevel="0" collapsed="false">
      <c r="A14" s="8" t="s">
        <v>154</v>
      </c>
      <c r="B14" s="35" t="n">
        <f aca="false">NAV_Build!B26</f>
        <v>537.1</v>
      </c>
      <c r="C14" s="17" t="n">
        <f aca="false">B14/Assumptions!$B$10</f>
        <v>3.6838134430727</v>
      </c>
    </row>
    <row r="15" customFormat="false" ht="15" hidden="false" customHeight="false" outlineLevel="0" collapsed="false">
      <c r="A15" s="5" t="s">
        <v>155</v>
      </c>
      <c r="B15" s="30" t="n">
        <f aca="false">NAV_Build!B27</f>
        <v>4614.13457737323</v>
      </c>
      <c r="C15" s="31" t="n">
        <f aca="false">NAV_Build!B28</f>
        <v>31.6470135622306</v>
      </c>
    </row>
    <row r="17" customFormat="false" ht="15" hidden="false" customHeight="false" outlineLevel="0" collapsed="false">
      <c r="A17" s="3" t="s">
        <v>156</v>
      </c>
      <c r="B17" s="4"/>
      <c r="C17" s="4"/>
      <c r="D17" s="4"/>
      <c r="E17" s="4"/>
      <c r="F17" s="4"/>
      <c r="G17" s="4"/>
    </row>
    <row r="18" customFormat="false" ht="15" hidden="false" customHeight="false" outlineLevel="0" collapsed="false">
      <c r="A18" s="5" t="s">
        <v>137</v>
      </c>
      <c r="B18" s="38" t="n">
        <f aca="false">NAV_Build!B28</f>
        <v>31.6470135622306</v>
      </c>
    </row>
    <row r="19" customFormat="false" ht="15" hidden="false" customHeight="false" outlineLevel="0" collapsed="false">
      <c r="A19" s="5" t="s">
        <v>38</v>
      </c>
      <c r="B19" s="38" t="n">
        <f aca="false">Assumptions!$B$11</f>
        <v>32.65</v>
      </c>
    </row>
    <row r="20" customFormat="false" ht="39.75" hidden="false" customHeight="true" outlineLevel="0" collapsed="false">
      <c r="A20" s="5" t="s">
        <v>138</v>
      </c>
      <c r="B20" s="39" t="n">
        <f aca="false">NAV_Build!B29</f>
        <v>1.03169292533076</v>
      </c>
      <c r="I20" s="10" t="s">
        <v>157</v>
      </c>
    </row>
    <row r="21" customFormat="false" ht="15" hidden="false" customHeight="false" outlineLevel="0" collapsed="false">
      <c r="A21" s="5" t="s">
        <v>158</v>
      </c>
      <c r="B21" s="40" t="n">
        <f aca="false">NAV_Build!B30</f>
        <v>-0.0307193395947735</v>
      </c>
    </row>
    <row r="23" customFormat="false" ht="15" hidden="false" customHeight="false" outlineLevel="0" collapsed="false">
      <c r="A23" s="3" t="s">
        <v>159</v>
      </c>
      <c r="B23" s="4"/>
      <c r="C23" s="4"/>
      <c r="D23" s="4"/>
      <c r="E23" s="4"/>
      <c r="F23" s="4"/>
      <c r="G23" s="4"/>
    </row>
    <row r="24" customFormat="false" ht="15" hidden="false" customHeight="false" outlineLevel="0" collapsed="false">
      <c r="A24" s="15" t="s">
        <v>160</v>
      </c>
      <c r="B24" s="41" t="n">
        <v>0.5</v>
      </c>
      <c r="C24" s="41" t="n">
        <v>0.6</v>
      </c>
      <c r="D24" s="41" t="n">
        <v>0.7</v>
      </c>
      <c r="E24" s="41" t="n">
        <v>0.8</v>
      </c>
      <c r="F24" s="41" t="n">
        <v>0.9</v>
      </c>
    </row>
    <row r="25" customFormat="false" ht="15" hidden="false" customHeight="false" outlineLevel="0" collapsed="false">
      <c r="A25" s="42" t="n">
        <v>55</v>
      </c>
      <c r="B25" s="17" t="n">
        <f aca="false">((Assumptions!$B$28*365*((Assumptions!$B$15*Assumptions!$B$16*($A25*Assumptions!$B$6)+Assumptions!$B$15*(1-Assumptions!$B$16)*($A25*Assumptions!$B$6)*Assumptions!$B$8+(1-Assumptions!$B$15)*6*Assumptions!$B$7)*(1-Assumptions!$B$19)-Assumptions!$B$17-Assumptions!$B$18)/(Assumptions!$B$9+Assumptions!$B$29)/1000000+Assumptions!$B$34*(Assumptions!$B$30*1000*((Assumptions!$B$15*Assumptions!$B$16*($A25*Assumptions!$B$6)+Assumptions!$B$15*(1-Assumptions!$B$16)*($A25*Assumptions!$B$6)*Assumptions!$B$8+(1-Assumptions!$B$15)*6*Assumptions!$B$7)*(1-Assumptions!$B$19)-Assumptions!$B$17-Assumptions!$B$18)*Assumptions!$B$31/1000000-Assumptions!$B$32)*Assumptions!$B$36*(1-(1+Assumptions!$B$9)^-Assumptions!$B$35)/Assumptions!$B$9+(((Assumptions!$B$39*365*((Assumptions!$C$15*Assumptions!$C$16*($A25*Assumptions!$B$6)+Assumptions!$C$15*(1-Assumptions!$C$16)*($A25*Assumptions!$B$6)*Assumptions!$B$8+(1-Assumptions!$C$15)*6*Assumptions!$B$7)*(1-Assumptions!$C$19)-Assumptions!$C$17-Assumptions!$C$18)*(1-Assumptions!$B$45)/1000000)*(1-(1+Assumptions!$B$9)^-Assumptions!$B$40)/Assumptions!$B$9+(Assumptions!$B$39*365*((Assumptions!$C$15*Assumptions!$C$16*($A25*Assumptions!$B$6)+Assumptions!$C$15*(1-Assumptions!$C$16)*($A25*Assumptions!$B$6)*Assumptions!$B$8+(1-Assumptions!$C$15)*6*Assumptions!$B$7)*(1-Assumptions!$C$19)-Assumptions!$C$17-Assumptions!$C$18)*(1-Assumptions!$B$45)/1000000)/(Assumptions!$B$9+Assumptions!$B$41)*(1+Assumptions!$B$9)^-Assumptions!$B$40)/(1+Assumptions!$B$9)^(Assumptions!$B$43+Assumptions!$B$44/2)-Assumptions!$B$42/(1+Assumptions!$B$9)^(Assumptions!$B$43/2))*B$24+Assumptions!$B$49*365*((Assumptions!$D$15*Assumptions!$D$16*($A25*Assumptions!$B$6)+Assumptions!$D$15*(1-Assumptions!$D$16)*($A25*Assumptions!$B$6)*Assumptions!$B$8+(1-Assumptions!$D$15)*6*Assumptions!$B$7)*(1-Assumptions!$D$19)-Assumptions!$D$17-Assumptions!$D$18)*(1-Assumptions!$B$51)/(Assumptions!$B$9+Assumptions!$B$50)/1000000+Assumptions!$B$52*1000*Assumptions!$B$53/1000000-Assumptions!$B$56/Assumptions!$B$9-Assumptions!$B$59)*(1-Assumptions!$B$60)+Assumptions!$B$57+Assumptions!$B$58)/Assumptions!$B$10</f>
        <v>17.8957724564004</v>
      </c>
      <c r="C25" s="17" t="n">
        <f aca="false">((Assumptions!$B$28*365*((Assumptions!$B$15*Assumptions!$B$16*($A25*Assumptions!$B$6)+Assumptions!$B$15*(1-Assumptions!$B$16)*($A25*Assumptions!$B$6)*Assumptions!$B$8+(1-Assumptions!$B$15)*6*Assumptions!$B$7)*(1-Assumptions!$B$19)-Assumptions!$B$17-Assumptions!$B$18)/(Assumptions!$B$9+Assumptions!$B$29)/1000000+Assumptions!$B$34*(Assumptions!$B$30*1000*((Assumptions!$B$15*Assumptions!$B$16*($A25*Assumptions!$B$6)+Assumptions!$B$15*(1-Assumptions!$B$16)*($A25*Assumptions!$B$6)*Assumptions!$B$8+(1-Assumptions!$B$15)*6*Assumptions!$B$7)*(1-Assumptions!$B$19)-Assumptions!$B$17-Assumptions!$B$18)*Assumptions!$B$31/1000000-Assumptions!$B$32)*Assumptions!$B$36*(1-(1+Assumptions!$B$9)^-Assumptions!$B$35)/Assumptions!$B$9+(((Assumptions!$B$39*365*((Assumptions!$C$15*Assumptions!$C$16*($A25*Assumptions!$B$6)+Assumptions!$C$15*(1-Assumptions!$C$16)*($A25*Assumptions!$B$6)*Assumptions!$B$8+(1-Assumptions!$C$15)*6*Assumptions!$B$7)*(1-Assumptions!$C$19)-Assumptions!$C$17-Assumptions!$C$18)*(1-Assumptions!$B$45)/1000000)*(1-(1+Assumptions!$B$9)^-Assumptions!$B$40)/Assumptions!$B$9+(Assumptions!$B$39*365*((Assumptions!$C$15*Assumptions!$C$16*($A25*Assumptions!$B$6)+Assumptions!$C$15*(1-Assumptions!$C$16)*($A25*Assumptions!$B$6)*Assumptions!$B$8+(1-Assumptions!$C$15)*6*Assumptions!$B$7)*(1-Assumptions!$C$19)-Assumptions!$C$17-Assumptions!$C$18)*(1-Assumptions!$B$45)/1000000)/(Assumptions!$B$9+Assumptions!$B$41)*(1+Assumptions!$B$9)^-Assumptions!$B$40)/(1+Assumptions!$B$9)^(Assumptions!$B$43+Assumptions!$B$44/2)-Assumptions!$B$42/(1+Assumptions!$B$9)^(Assumptions!$B$43/2))*C$24+Assumptions!$B$49*365*((Assumptions!$D$15*Assumptions!$D$16*($A25*Assumptions!$B$6)+Assumptions!$D$15*(1-Assumptions!$D$16)*($A25*Assumptions!$B$6)*Assumptions!$B$8+(1-Assumptions!$D$15)*6*Assumptions!$B$7)*(1-Assumptions!$D$19)-Assumptions!$D$17-Assumptions!$D$18)*(1-Assumptions!$B$51)/(Assumptions!$B$9+Assumptions!$B$50)/1000000+Assumptions!$B$52*1000*Assumptions!$B$53/1000000-Assumptions!$B$56/Assumptions!$B$9-Assumptions!$B$59)*(1-Assumptions!$B$60)+Assumptions!$B$57+Assumptions!$B$58)/Assumptions!$B$10</f>
        <v>18.4458634236674</v>
      </c>
      <c r="D25" s="17" t="n">
        <f aca="false">((Assumptions!$B$28*365*((Assumptions!$B$15*Assumptions!$B$16*($A25*Assumptions!$B$6)+Assumptions!$B$15*(1-Assumptions!$B$16)*($A25*Assumptions!$B$6)*Assumptions!$B$8+(1-Assumptions!$B$15)*6*Assumptions!$B$7)*(1-Assumptions!$B$19)-Assumptions!$B$17-Assumptions!$B$18)/(Assumptions!$B$9+Assumptions!$B$29)/1000000+Assumptions!$B$34*(Assumptions!$B$30*1000*((Assumptions!$B$15*Assumptions!$B$16*($A25*Assumptions!$B$6)+Assumptions!$B$15*(1-Assumptions!$B$16)*($A25*Assumptions!$B$6)*Assumptions!$B$8+(1-Assumptions!$B$15)*6*Assumptions!$B$7)*(1-Assumptions!$B$19)-Assumptions!$B$17-Assumptions!$B$18)*Assumptions!$B$31/1000000-Assumptions!$B$32)*Assumptions!$B$36*(1-(1+Assumptions!$B$9)^-Assumptions!$B$35)/Assumptions!$B$9+(((Assumptions!$B$39*365*((Assumptions!$C$15*Assumptions!$C$16*($A25*Assumptions!$B$6)+Assumptions!$C$15*(1-Assumptions!$C$16)*($A25*Assumptions!$B$6)*Assumptions!$B$8+(1-Assumptions!$C$15)*6*Assumptions!$B$7)*(1-Assumptions!$C$19)-Assumptions!$C$17-Assumptions!$C$18)*(1-Assumptions!$B$45)/1000000)*(1-(1+Assumptions!$B$9)^-Assumptions!$B$40)/Assumptions!$B$9+(Assumptions!$B$39*365*((Assumptions!$C$15*Assumptions!$C$16*($A25*Assumptions!$B$6)+Assumptions!$C$15*(1-Assumptions!$C$16)*($A25*Assumptions!$B$6)*Assumptions!$B$8+(1-Assumptions!$C$15)*6*Assumptions!$B$7)*(1-Assumptions!$C$19)-Assumptions!$C$17-Assumptions!$C$18)*(1-Assumptions!$B$45)/1000000)/(Assumptions!$B$9+Assumptions!$B$41)*(1+Assumptions!$B$9)^-Assumptions!$B$40)/(1+Assumptions!$B$9)^(Assumptions!$B$43+Assumptions!$B$44/2)-Assumptions!$B$42/(1+Assumptions!$B$9)^(Assumptions!$B$43/2))*D$24+Assumptions!$B$49*365*((Assumptions!$D$15*Assumptions!$D$16*($A25*Assumptions!$B$6)+Assumptions!$D$15*(1-Assumptions!$D$16)*($A25*Assumptions!$B$6)*Assumptions!$B$8+(1-Assumptions!$D$15)*6*Assumptions!$B$7)*(1-Assumptions!$D$19)-Assumptions!$D$17-Assumptions!$D$18)*(1-Assumptions!$B$51)/(Assumptions!$B$9+Assumptions!$B$50)/1000000+Assumptions!$B$52*1000*Assumptions!$B$53/1000000-Assumptions!$B$56/Assumptions!$B$9-Assumptions!$B$59)*(1-Assumptions!$B$60)+Assumptions!$B$57+Assumptions!$B$58)/Assumptions!$B$10</f>
        <v>18.9959543909344</v>
      </c>
      <c r="E25" s="17" t="n">
        <f aca="false">((Assumptions!$B$28*365*((Assumptions!$B$15*Assumptions!$B$16*($A25*Assumptions!$B$6)+Assumptions!$B$15*(1-Assumptions!$B$16)*($A25*Assumptions!$B$6)*Assumptions!$B$8+(1-Assumptions!$B$15)*6*Assumptions!$B$7)*(1-Assumptions!$B$19)-Assumptions!$B$17-Assumptions!$B$18)/(Assumptions!$B$9+Assumptions!$B$29)/1000000+Assumptions!$B$34*(Assumptions!$B$30*1000*((Assumptions!$B$15*Assumptions!$B$16*($A25*Assumptions!$B$6)+Assumptions!$B$15*(1-Assumptions!$B$16)*($A25*Assumptions!$B$6)*Assumptions!$B$8+(1-Assumptions!$B$15)*6*Assumptions!$B$7)*(1-Assumptions!$B$19)-Assumptions!$B$17-Assumptions!$B$18)*Assumptions!$B$31/1000000-Assumptions!$B$32)*Assumptions!$B$36*(1-(1+Assumptions!$B$9)^-Assumptions!$B$35)/Assumptions!$B$9+(((Assumptions!$B$39*365*((Assumptions!$C$15*Assumptions!$C$16*($A25*Assumptions!$B$6)+Assumptions!$C$15*(1-Assumptions!$C$16)*($A25*Assumptions!$B$6)*Assumptions!$B$8+(1-Assumptions!$C$15)*6*Assumptions!$B$7)*(1-Assumptions!$C$19)-Assumptions!$C$17-Assumptions!$C$18)*(1-Assumptions!$B$45)/1000000)*(1-(1+Assumptions!$B$9)^-Assumptions!$B$40)/Assumptions!$B$9+(Assumptions!$B$39*365*((Assumptions!$C$15*Assumptions!$C$16*($A25*Assumptions!$B$6)+Assumptions!$C$15*(1-Assumptions!$C$16)*($A25*Assumptions!$B$6)*Assumptions!$B$8+(1-Assumptions!$C$15)*6*Assumptions!$B$7)*(1-Assumptions!$C$19)-Assumptions!$C$17-Assumptions!$C$18)*(1-Assumptions!$B$45)/1000000)/(Assumptions!$B$9+Assumptions!$B$41)*(1+Assumptions!$B$9)^-Assumptions!$B$40)/(1+Assumptions!$B$9)^(Assumptions!$B$43+Assumptions!$B$44/2)-Assumptions!$B$42/(1+Assumptions!$B$9)^(Assumptions!$B$43/2))*E$24+Assumptions!$B$49*365*((Assumptions!$D$15*Assumptions!$D$16*($A25*Assumptions!$B$6)+Assumptions!$D$15*(1-Assumptions!$D$16)*($A25*Assumptions!$B$6)*Assumptions!$B$8+(1-Assumptions!$D$15)*6*Assumptions!$B$7)*(1-Assumptions!$D$19)-Assumptions!$D$17-Assumptions!$D$18)*(1-Assumptions!$B$51)/(Assumptions!$B$9+Assumptions!$B$50)/1000000+Assumptions!$B$52*1000*Assumptions!$B$53/1000000-Assumptions!$B$56/Assumptions!$B$9-Assumptions!$B$59)*(1-Assumptions!$B$60)+Assumptions!$B$57+Assumptions!$B$58)/Assumptions!$B$10</f>
        <v>19.5460453582013</v>
      </c>
      <c r="F25" s="17" t="n">
        <f aca="false">((Assumptions!$B$28*365*((Assumptions!$B$15*Assumptions!$B$16*($A25*Assumptions!$B$6)+Assumptions!$B$15*(1-Assumptions!$B$16)*($A25*Assumptions!$B$6)*Assumptions!$B$8+(1-Assumptions!$B$15)*6*Assumptions!$B$7)*(1-Assumptions!$B$19)-Assumptions!$B$17-Assumptions!$B$18)/(Assumptions!$B$9+Assumptions!$B$29)/1000000+Assumptions!$B$34*(Assumptions!$B$30*1000*((Assumptions!$B$15*Assumptions!$B$16*($A25*Assumptions!$B$6)+Assumptions!$B$15*(1-Assumptions!$B$16)*($A25*Assumptions!$B$6)*Assumptions!$B$8+(1-Assumptions!$B$15)*6*Assumptions!$B$7)*(1-Assumptions!$B$19)-Assumptions!$B$17-Assumptions!$B$18)*Assumptions!$B$31/1000000-Assumptions!$B$32)*Assumptions!$B$36*(1-(1+Assumptions!$B$9)^-Assumptions!$B$35)/Assumptions!$B$9+(((Assumptions!$B$39*365*((Assumptions!$C$15*Assumptions!$C$16*($A25*Assumptions!$B$6)+Assumptions!$C$15*(1-Assumptions!$C$16)*($A25*Assumptions!$B$6)*Assumptions!$B$8+(1-Assumptions!$C$15)*6*Assumptions!$B$7)*(1-Assumptions!$C$19)-Assumptions!$C$17-Assumptions!$C$18)*(1-Assumptions!$B$45)/1000000)*(1-(1+Assumptions!$B$9)^-Assumptions!$B$40)/Assumptions!$B$9+(Assumptions!$B$39*365*((Assumptions!$C$15*Assumptions!$C$16*($A25*Assumptions!$B$6)+Assumptions!$C$15*(1-Assumptions!$C$16)*($A25*Assumptions!$B$6)*Assumptions!$B$8+(1-Assumptions!$C$15)*6*Assumptions!$B$7)*(1-Assumptions!$C$19)-Assumptions!$C$17-Assumptions!$C$18)*(1-Assumptions!$B$45)/1000000)/(Assumptions!$B$9+Assumptions!$B$41)*(1+Assumptions!$B$9)^-Assumptions!$B$40)/(1+Assumptions!$B$9)^(Assumptions!$B$43+Assumptions!$B$44/2)-Assumptions!$B$42/(1+Assumptions!$B$9)^(Assumptions!$B$43/2))*F$24+Assumptions!$B$49*365*((Assumptions!$D$15*Assumptions!$D$16*($A25*Assumptions!$B$6)+Assumptions!$D$15*(1-Assumptions!$D$16)*($A25*Assumptions!$B$6)*Assumptions!$B$8+(1-Assumptions!$D$15)*6*Assumptions!$B$7)*(1-Assumptions!$D$19)-Assumptions!$D$17-Assumptions!$D$18)*(1-Assumptions!$B$51)/(Assumptions!$B$9+Assumptions!$B$50)/1000000+Assumptions!$B$52*1000*Assumptions!$B$53/1000000-Assumptions!$B$56/Assumptions!$B$9-Assumptions!$B$59)*(1-Assumptions!$B$60)+Assumptions!$B$57+Assumptions!$B$58)/Assumptions!$B$10</f>
        <v>20.0961363254683</v>
      </c>
    </row>
    <row r="26" customFormat="false" ht="15" hidden="false" customHeight="false" outlineLevel="0" collapsed="false">
      <c r="A26" s="42" t="n">
        <v>65</v>
      </c>
      <c r="B26" s="17" t="n">
        <f aca="false">((Assumptions!$B$28*365*((Assumptions!$B$15*Assumptions!$B$16*($A26*Assumptions!$B$6)+Assumptions!$B$15*(1-Assumptions!$B$16)*($A26*Assumptions!$B$6)*Assumptions!$B$8+(1-Assumptions!$B$15)*6*Assumptions!$B$7)*(1-Assumptions!$B$19)-Assumptions!$B$17-Assumptions!$B$18)/(Assumptions!$B$9+Assumptions!$B$29)/1000000+Assumptions!$B$34*(Assumptions!$B$30*1000*((Assumptions!$B$15*Assumptions!$B$16*($A26*Assumptions!$B$6)+Assumptions!$B$15*(1-Assumptions!$B$16)*($A26*Assumptions!$B$6)*Assumptions!$B$8+(1-Assumptions!$B$15)*6*Assumptions!$B$7)*(1-Assumptions!$B$19)-Assumptions!$B$17-Assumptions!$B$18)*Assumptions!$B$31/1000000-Assumptions!$B$32)*Assumptions!$B$36*(1-(1+Assumptions!$B$9)^-Assumptions!$B$35)/Assumptions!$B$9+(((Assumptions!$B$39*365*((Assumptions!$C$15*Assumptions!$C$16*($A26*Assumptions!$B$6)+Assumptions!$C$15*(1-Assumptions!$C$16)*($A26*Assumptions!$B$6)*Assumptions!$B$8+(1-Assumptions!$C$15)*6*Assumptions!$B$7)*(1-Assumptions!$C$19)-Assumptions!$C$17-Assumptions!$C$18)*(1-Assumptions!$B$45)/1000000)*(1-(1+Assumptions!$B$9)^-Assumptions!$B$40)/Assumptions!$B$9+(Assumptions!$B$39*365*((Assumptions!$C$15*Assumptions!$C$16*($A26*Assumptions!$B$6)+Assumptions!$C$15*(1-Assumptions!$C$16)*($A26*Assumptions!$B$6)*Assumptions!$B$8+(1-Assumptions!$C$15)*6*Assumptions!$B$7)*(1-Assumptions!$C$19)-Assumptions!$C$17-Assumptions!$C$18)*(1-Assumptions!$B$45)/1000000)/(Assumptions!$B$9+Assumptions!$B$41)*(1+Assumptions!$B$9)^-Assumptions!$B$40)/(1+Assumptions!$B$9)^(Assumptions!$B$43+Assumptions!$B$44/2)-Assumptions!$B$42/(1+Assumptions!$B$9)^(Assumptions!$B$43/2))*B$24+Assumptions!$B$49*365*((Assumptions!$D$15*Assumptions!$D$16*($A26*Assumptions!$B$6)+Assumptions!$D$15*(1-Assumptions!$D$16)*($A26*Assumptions!$B$6)*Assumptions!$B$8+(1-Assumptions!$D$15)*6*Assumptions!$B$7)*(1-Assumptions!$D$19)-Assumptions!$D$17-Assumptions!$D$18)*(1-Assumptions!$B$51)/(Assumptions!$B$9+Assumptions!$B$50)/1000000+Assumptions!$B$52*1000*Assumptions!$B$53/1000000-Assumptions!$B$56/Assumptions!$B$9-Assumptions!$B$59)*(1-Assumptions!$B$60)+Assumptions!$B$57+Assumptions!$B$58)/Assumptions!$B$10</f>
        <v>22.846130081715</v>
      </c>
      <c r="C26" s="17" t="n">
        <f aca="false">((Assumptions!$B$28*365*((Assumptions!$B$15*Assumptions!$B$16*($A26*Assumptions!$B$6)+Assumptions!$B$15*(1-Assumptions!$B$16)*($A26*Assumptions!$B$6)*Assumptions!$B$8+(1-Assumptions!$B$15)*6*Assumptions!$B$7)*(1-Assumptions!$B$19)-Assumptions!$B$17-Assumptions!$B$18)/(Assumptions!$B$9+Assumptions!$B$29)/1000000+Assumptions!$B$34*(Assumptions!$B$30*1000*((Assumptions!$B$15*Assumptions!$B$16*($A26*Assumptions!$B$6)+Assumptions!$B$15*(1-Assumptions!$B$16)*($A26*Assumptions!$B$6)*Assumptions!$B$8+(1-Assumptions!$B$15)*6*Assumptions!$B$7)*(1-Assumptions!$B$19)-Assumptions!$B$17-Assumptions!$B$18)*Assumptions!$B$31/1000000-Assumptions!$B$32)*Assumptions!$B$36*(1-(1+Assumptions!$B$9)^-Assumptions!$B$35)/Assumptions!$B$9+(((Assumptions!$B$39*365*((Assumptions!$C$15*Assumptions!$C$16*($A26*Assumptions!$B$6)+Assumptions!$C$15*(1-Assumptions!$C$16)*($A26*Assumptions!$B$6)*Assumptions!$B$8+(1-Assumptions!$C$15)*6*Assumptions!$B$7)*(1-Assumptions!$C$19)-Assumptions!$C$17-Assumptions!$C$18)*(1-Assumptions!$B$45)/1000000)*(1-(1+Assumptions!$B$9)^-Assumptions!$B$40)/Assumptions!$B$9+(Assumptions!$B$39*365*((Assumptions!$C$15*Assumptions!$C$16*($A26*Assumptions!$B$6)+Assumptions!$C$15*(1-Assumptions!$C$16)*($A26*Assumptions!$B$6)*Assumptions!$B$8+(1-Assumptions!$C$15)*6*Assumptions!$B$7)*(1-Assumptions!$C$19)-Assumptions!$C$17-Assumptions!$C$18)*(1-Assumptions!$B$45)/1000000)/(Assumptions!$B$9+Assumptions!$B$41)*(1+Assumptions!$B$9)^-Assumptions!$B$40)/(1+Assumptions!$B$9)^(Assumptions!$B$43+Assumptions!$B$44/2)-Assumptions!$B$42/(1+Assumptions!$B$9)^(Assumptions!$B$43/2))*C$24+Assumptions!$B$49*365*((Assumptions!$D$15*Assumptions!$D$16*($A26*Assumptions!$B$6)+Assumptions!$D$15*(1-Assumptions!$D$16)*($A26*Assumptions!$B$6)*Assumptions!$B$8+(1-Assumptions!$D$15)*6*Assumptions!$B$7)*(1-Assumptions!$D$19)-Assumptions!$D$17-Assumptions!$D$18)*(1-Assumptions!$B$51)/(Assumptions!$B$9+Assumptions!$B$50)/1000000+Assumptions!$B$52*1000*Assumptions!$B$53/1000000-Assumptions!$B$56/Assumptions!$B$9-Assumptions!$B$59)*(1-Assumptions!$B$60)+Assumptions!$B$57+Assumptions!$B$58)/Assumptions!$B$10</f>
        <v>23.4512540705839</v>
      </c>
      <c r="D26" s="17" t="n">
        <f aca="false">((Assumptions!$B$28*365*((Assumptions!$B$15*Assumptions!$B$16*($A26*Assumptions!$B$6)+Assumptions!$B$15*(1-Assumptions!$B$16)*($A26*Assumptions!$B$6)*Assumptions!$B$8+(1-Assumptions!$B$15)*6*Assumptions!$B$7)*(1-Assumptions!$B$19)-Assumptions!$B$17-Assumptions!$B$18)/(Assumptions!$B$9+Assumptions!$B$29)/1000000+Assumptions!$B$34*(Assumptions!$B$30*1000*((Assumptions!$B$15*Assumptions!$B$16*($A26*Assumptions!$B$6)+Assumptions!$B$15*(1-Assumptions!$B$16)*($A26*Assumptions!$B$6)*Assumptions!$B$8+(1-Assumptions!$B$15)*6*Assumptions!$B$7)*(1-Assumptions!$B$19)-Assumptions!$B$17-Assumptions!$B$18)*Assumptions!$B$31/1000000-Assumptions!$B$32)*Assumptions!$B$36*(1-(1+Assumptions!$B$9)^-Assumptions!$B$35)/Assumptions!$B$9+(((Assumptions!$B$39*365*((Assumptions!$C$15*Assumptions!$C$16*($A26*Assumptions!$B$6)+Assumptions!$C$15*(1-Assumptions!$C$16)*($A26*Assumptions!$B$6)*Assumptions!$B$8+(1-Assumptions!$C$15)*6*Assumptions!$B$7)*(1-Assumptions!$C$19)-Assumptions!$C$17-Assumptions!$C$18)*(1-Assumptions!$B$45)/1000000)*(1-(1+Assumptions!$B$9)^-Assumptions!$B$40)/Assumptions!$B$9+(Assumptions!$B$39*365*((Assumptions!$C$15*Assumptions!$C$16*($A26*Assumptions!$B$6)+Assumptions!$C$15*(1-Assumptions!$C$16)*($A26*Assumptions!$B$6)*Assumptions!$B$8+(1-Assumptions!$C$15)*6*Assumptions!$B$7)*(1-Assumptions!$C$19)-Assumptions!$C$17-Assumptions!$C$18)*(1-Assumptions!$B$45)/1000000)/(Assumptions!$B$9+Assumptions!$B$41)*(1+Assumptions!$B$9)^-Assumptions!$B$40)/(1+Assumptions!$B$9)^(Assumptions!$B$43+Assumptions!$B$44/2)-Assumptions!$B$42/(1+Assumptions!$B$9)^(Assumptions!$B$43/2))*D$24+Assumptions!$B$49*365*((Assumptions!$D$15*Assumptions!$D$16*($A26*Assumptions!$B$6)+Assumptions!$D$15*(1-Assumptions!$D$16)*($A26*Assumptions!$B$6)*Assumptions!$B$8+(1-Assumptions!$D$15)*6*Assumptions!$B$7)*(1-Assumptions!$D$19)-Assumptions!$D$17-Assumptions!$D$18)*(1-Assumptions!$B$51)/(Assumptions!$B$9+Assumptions!$B$50)/1000000+Assumptions!$B$52*1000*Assumptions!$B$53/1000000-Assumptions!$B$56/Assumptions!$B$9-Assumptions!$B$59)*(1-Assumptions!$B$60)+Assumptions!$B$57+Assumptions!$B$58)/Assumptions!$B$10</f>
        <v>24.0563780594529</v>
      </c>
      <c r="E26" s="17" t="n">
        <f aca="false">((Assumptions!$B$28*365*((Assumptions!$B$15*Assumptions!$B$16*($A26*Assumptions!$B$6)+Assumptions!$B$15*(1-Assumptions!$B$16)*($A26*Assumptions!$B$6)*Assumptions!$B$8+(1-Assumptions!$B$15)*6*Assumptions!$B$7)*(1-Assumptions!$B$19)-Assumptions!$B$17-Assumptions!$B$18)/(Assumptions!$B$9+Assumptions!$B$29)/1000000+Assumptions!$B$34*(Assumptions!$B$30*1000*((Assumptions!$B$15*Assumptions!$B$16*($A26*Assumptions!$B$6)+Assumptions!$B$15*(1-Assumptions!$B$16)*($A26*Assumptions!$B$6)*Assumptions!$B$8+(1-Assumptions!$B$15)*6*Assumptions!$B$7)*(1-Assumptions!$B$19)-Assumptions!$B$17-Assumptions!$B$18)*Assumptions!$B$31/1000000-Assumptions!$B$32)*Assumptions!$B$36*(1-(1+Assumptions!$B$9)^-Assumptions!$B$35)/Assumptions!$B$9+(((Assumptions!$B$39*365*((Assumptions!$C$15*Assumptions!$C$16*($A26*Assumptions!$B$6)+Assumptions!$C$15*(1-Assumptions!$C$16)*($A26*Assumptions!$B$6)*Assumptions!$B$8+(1-Assumptions!$C$15)*6*Assumptions!$B$7)*(1-Assumptions!$C$19)-Assumptions!$C$17-Assumptions!$C$18)*(1-Assumptions!$B$45)/1000000)*(1-(1+Assumptions!$B$9)^-Assumptions!$B$40)/Assumptions!$B$9+(Assumptions!$B$39*365*((Assumptions!$C$15*Assumptions!$C$16*($A26*Assumptions!$B$6)+Assumptions!$C$15*(1-Assumptions!$C$16)*($A26*Assumptions!$B$6)*Assumptions!$B$8+(1-Assumptions!$C$15)*6*Assumptions!$B$7)*(1-Assumptions!$C$19)-Assumptions!$C$17-Assumptions!$C$18)*(1-Assumptions!$B$45)/1000000)/(Assumptions!$B$9+Assumptions!$B$41)*(1+Assumptions!$B$9)^-Assumptions!$B$40)/(1+Assumptions!$B$9)^(Assumptions!$B$43+Assumptions!$B$44/2)-Assumptions!$B$42/(1+Assumptions!$B$9)^(Assumptions!$B$43/2))*E$24+Assumptions!$B$49*365*((Assumptions!$D$15*Assumptions!$D$16*($A26*Assumptions!$B$6)+Assumptions!$D$15*(1-Assumptions!$D$16)*($A26*Assumptions!$B$6)*Assumptions!$B$8+(1-Assumptions!$D$15)*6*Assumptions!$B$7)*(1-Assumptions!$D$19)-Assumptions!$D$17-Assumptions!$D$18)*(1-Assumptions!$B$51)/(Assumptions!$B$9+Assumptions!$B$50)/1000000+Assumptions!$B$52*1000*Assumptions!$B$53/1000000-Assumptions!$B$56/Assumptions!$B$9-Assumptions!$B$59)*(1-Assumptions!$B$60)+Assumptions!$B$57+Assumptions!$B$58)/Assumptions!$B$10</f>
        <v>24.6615020483218</v>
      </c>
      <c r="F26" s="17" t="n">
        <f aca="false">((Assumptions!$B$28*365*((Assumptions!$B$15*Assumptions!$B$16*($A26*Assumptions!$B$6)+Assumptions!$B$15*(1-Assumptions!$B$16)*($A26*Assumptions!$B$6)*Assumptions!$B$8+(1-Assumptions!$B$15)*6*Assumptions!$B$7)*(1-Assumptions!$B$19)-Assumptions!$B$17-Assumptions!$B$18)/(Assumptions!$B$9+Assumptions!$B$29)/1000000+Assumptions!$B$34*(Assumptions!$B$30*1000*((Assumptions!$B$15*Assumptions!$B$16*($A26*Assumptions!$B$6)+Assumptions!$B$15*(1-Assumptions!$B$16)*($A26*Assumptions!$B$6)*Assumptions!$B$8+(1-Assumptions!$B$15)*6*Assumptions!$B$7)*(1-Assumptions!$B$19)-Assumptions!$B$17-Assumptions!$B$18)*Assumptions!$B$31/1000000-Assumptions!$B$32)*Assumptions!$B$36*(1-(1+Assumptions!$B$9)^-Assumptions!$B$35)/Assumptions!$B$9+(((Assumptions!$B$39*365*((Assumptions!$C$15*Assumptions!$C$16*($A26*Assumptions!$B$6)+Assumptions!$C$15*(1-Assumptions!$C$16)*($A26*Assumptions!$B$6)*Assumptions!$B$8+(1-Assumptions!$C$15)*6*Assumptions!$B$7)*(1-Assumptions!$C$19)-Assumptions!$C$17-Assumptions!$C$18)*(1-Assumptions!$B$45)/1000000)*(1-(1+Assumptions!$B$9)^-Assumptions!$B$40)/Assumptions!$B$9+(Assumptions!$B$39*365*((Assumptions!$C$15*Assumptions!$C$16*($A26*Assumptions!$B$6)+Assumptions!$C$15*(1-Assumptions!$C$16)*($A26*Assumptions!$B$6)*Assumptions!$B$8+(1-Assumptions!$C$15)*6*Assumptions!$B$7)*(1-Assumptions!$C$19)-Assumptions!$C$17-Assumptions!$C$18)*(1-Assumptions!$B$45)/1000000)/(Assumptions!$B$9+Assumptions!$B$41)*(1+Assumptions!$B$9)^-Assumptions!$B$40)/(1+Assumptions!$B$9)^(Assumptions!$B$43+Assumptions!$B$44/2)-Assumptions!$B$42/(1+Assumptions!$B$9)^(Assumptions!$B$43/2))*F$24+Assumptions!$B$49*365*((Assumptions!$D$15*Assumptions!$D$16*($A26*Assumptions!$B$6)+Assumptions!$D$15*(1-Assumptions!$D$16)*($A26*Assumptions!$B$6)*Assumptions!$B$8+(1-Assumptions!$D$15)*6*Assumptions!$B$7)*(1-Assumptions!$D$19)-Assumptions!$D$17-Assumptions!$D$18)*(1-Assumptions!$B$51)/(Assumptions!$B$9+Assumptions!$B$50)/1000000+Assumptions!$B$52*1000*Assumptions!$B$53/1000000-Assumptions!$B$56/Assumptions!$B$9-Assumptions!$B$59)*(1-Assumptions!$B$60)+Assumptions!$B$57+Assumptions!$B$58)/Assumptions!$B$10</f>
        <v>25.2666260371908</v>
      </c>
    </row>
    <row r="27" customFormat="false" ht="15" hidden="false" customHeight="false" outlineLevel="0" collapsed="false">
      <c r="A27" s="42" t="n">
        <v>75</v>
      </c>
      <c r="B27" s="17" t="n">
        <f aca="false">((Assumptions!$B$28*365*((Assumptions!$B$15*Assumptions!$B$16*($A27*Assumptions!$B$6)+Assumptions!$B$15*(1-Assumptions!$B$16)*($A27*Assumptions!$B$6)*Assumptions!$B$8+(1-Assumptions!$B$15)*6*Assumptions!$B$7)*(1-Assumptions!$B$19)-Assumptions!$B$17-Assumptions!$B$18)/(Assumptions!$B$9+Assumptions!$B$29)/1000000+Assumptions!$B$34*(Assumptions!$B$30*1000*((Assumptions!$B$15*Assumptions!$B$16*($A27*Assumptions!$B$6)+Assumptions!$B$15*(1-Assumptions!$B$16)*($A27*Assumptions!$B$6)*Assumptions!$B$8+(1-Assumptions!$B$15)*6*Assumptions!$B$7)*(1-Assumptions!$B$19)-Assumptions!$B$17-Assumptions!$B$18)*Assumptions!$B$31/1000000-Assumptions!$B$32)*Assumptions!$B$36*(1-(1+Assumptions!$B$9)^-Assumptions!$B$35)/Assumptions!$B$9+(((Assumptions!$B$39*365*((Assumptions!$C$15*Assumptions!$C$16*($A27*Assumptions!$B$6)+Assumptions!$C$15*(1-Assumptions!$C$16)*($A27*Assumptions!$B$6)*Assumptions!$B$8+(1-Assumptions!$C$15)*6*Assumptions!$B$7)*(1-Assumptions!$C$19)-Assumptions!$C$17-Assumptions!$C$18)*(1-Assumptions!$B$45)/1000000)*(1-(1+Assumptions!$B$9)^-Assumptions!$B$40)/Assumptions!$B$9+(Assumptions!$B$39*365*((Assumptions!$C$15*Assumptions!$C$16*($A27*Assumptions!$B$6)+Assumptions!$C$15*(1-Assumptions!$C$16)*($A27*Assumptions!$B$6)*Assumptions!$B$8+(1-Assumptions!$C$15)*6*Assumptions!$B$7)*(1-Assumptions!$C$19)-Assumptions!$C$17-Assumptions!$C$18)*(1-Assumptions!$B$45)/1000000)/(Assumptions!$B$9+Assumptions!$B$41)*(1+Assumptions!$B$9)^-Assumptions!$B$40)/(1+Assumptions!$B$9)^(Assumptions!$B$43+Assumptions!$B$44/2)-Assumptions!$B$42/(1+Assumptions!$B$9)^(Assumptions!$B$43/2))*B$24+Assumptions!$B$49*365*((Assumptions!$D$15*Assumptions!$D$16*($A27*Assumptions!$B$6)+Assumptions!$D$15*(1-Assumptions!$D$16)*($A27*Assumptions!$B$6)*Assumptions!$B$8+(1-Assumptions!$D$15)*6*Assumptions!$B$7)*(1-Assumptions!$D$19)-Assumptions!$D$17-Assumptions!$D$18)*(1-Assumptions!$B$51)/(Assumptions!$B$9+Assumptions!$B$50)/1000000+Assumptions!$B$52*1000*Assumptions!$B$53/1000000-Assumptions!$B$56/Assumptions!$B$9-Assumptions!$B$59)*(1-Assumptions!$B$60)+Assumptions!$B$57+Assumptions!$B$58)/Assumptions!$B$10</f>
        <v>27.7964877070295</v>
      </c>
      <c r="C27" s="17" t="n">
        <f aca="false">((Assumptions!$B$28*365*((Assumptions!$B$15*Assumptions!$B$16*($A27*Assumptions!$B$6)+Assumptions!$B$15*(1-Assumptions!$B$16)*($A27*Assumptions!$B$6)*Assumptions!$B$8+(1-Assumptions!$B$15)*6*Assumptions!$B$7)*(1-Assumptions!$B$19)-Assumptions!$B$17-Assumptions!$B$18)/(Assumptions!$B$9+Assumptions!$B$29)/1000000+Assumptions!$B$34*(Assumptions!$B$30*1000*((Assumptions!$B$15*Assumptions!$B$16*($A27*Assumptions!$B$6)+Assumptions!$B$15*(1-Assumptions!$B$16)*($A27*Assumptions!$B$6)*Assumptions!$B$8+(1-Assumptions!$B$15)*6*Assumptions!$B$7)*(1-Assumptions!$B$19)-Assumptions!$B$17-Assumptions!$B$18)*Assumptions!$B$31/1000000-Assumptions!$B$32)*Assumptions!$B$36*(1-(1+Assumptions!$B$9)^-Assumptions!$B$35)/Assumptions!$B$9+(((Assumptions!$B$39*365*((Assumptions!$C$15*Assumptions!$C$16*($A27*Assumptions!$B$6)+Assumptions!$C$15*(1-Assumptions!$C$16)*($A27*Assumptions!$B$6)*Assumptions!$B$8+(1-Assumptions!$C$15)*6*Assumptions!$B$7)*(1-Assumptions!$C$19)-Assumptions!$C$17-Assumptions!$C$18)*(1-Assumptions!$B$45)/1000000)*(1-(1+Assumptions!$B$9)^-Assumptions!$B$40)/Assumptions!$B$9+(Assumptions!$B$39*365*((Assumptions!$C$15*Assumptions!$C$16*($A27*Assumptions!$B$6)+Assumptions!$C$15*(1-Assumptions!$C$16)*($A27*Assumptions!$B$6)*Assumptions!$B$8+(1-Assumptions!$C$15)*6*Assumptions!$B$7)*(1-Assumptions!$C$19)-Assumptions!$C$17-Assumptions!$C$18)*(1-Assumptions!$B$45)/1000000)/(Assumptions!$B$9+Assumptions!$B$41)*(1+Assumptions!$B$9)^-Assumptions!$B$40)/(1+Assumptions!$B$9)^(Assumptions!$B$43+Assumptions!$B$44/2)-Assumptions!$B$42/(1+Assumptions!$B$9)^(Assumptions!$B$43/2))*C$24+Assumptions!$B$49*365*((Assumptions!$D$15*Assumptions!$D$16*($A27*Assumptions!$B$6)+Assumptions!$D$15*(1-Assumptions!$D$16)*($A27*Assumptions!$B$6)*Assumptions!$B$8+(1-Assumptions!$D$15)*6*Assumptions!$B$7)*(1-Assumptions!$D$19)-Assumptions!$D$17-Assumptions!$D$18)*(1-Assumptions!$B$51)/(Assumptions!$B$9+Assumptions!$B$50)/1000000+Assumptions!$B$52*1000*Assumptions!$B$53/1000000-Assumptions!$B$56/Assumptions!$B$9-Assumptions!$B$59)*(1-Assumptions!$B$60)+Assumptions!$B$57+Assumptions!$B$58)/Assumptions!$B$10</f>
        <v>28.4566447175004</v>
      </c>
      <c r="D27" s="17" t="n">
        <f aca="false">((Assumptions!$B$28*365*((Assumptions!$B$15*Assumptions!$B$16*($A27*Assumptions!$B$6)+Assumptions!$B$15*(1-Assumptions!$B$16)*($A27*Assumptions!$B$6)*Assumptions!$B$8+(1-Assumptions!$B$15)*6*Assumptions!$B$7)*(1-Assumptions!$B$19)-Assumptions!$B$17-Assumptions!$B$18)/(Assumptions!$B$9+Assumptions!$B$29)/1000000+Assumptions!$B$34*(Assumptions!$B$30*1000*((Assumptions!$B$15*Assumptions!$B$16*($A27*Assumptions!$B$6)+Assumptions!$B$15*(1-Assumptions!$B$16)*($A27*Assumptions!$B$6)*Assumptions!$B$8+(1-Assumptions!$B$15)*6*Assumptions!$B$7)*(1-Assumptions!$B$19)-Assumptions!$B$17-Assumptions!$B$18)*Assumptions!$B$31/1000000-Assumptions!$B$32)*Assumptions!$B$36*(1-(1+Assumptions!$B$9)^-Assumptions!$B$35)/Assumptions!$B$9+(((Assumptions!$B$39*365*((Assumptions!$C$15*Assumptions!$C$16*($A27*Assumptions!$B$6)+Assumptions!$C$15*(1-Assumptions!$C$16)*($A27*Assumptions!$B$6)*Assumptions!$B$8+(1-Assumptions!$C$15)*6*Assumptions!$B$7)*(1-Assumptions!$C$19)-Assumptions!$C$17-Assumptions!$C$18)*(1-Assumptions!$B$45)/1000000)*(1-(1+Assumptions!$B$9)^-Assumptions!$B$40)/Assumptions!$B$9+(Assumptions!$B$39*365*((Assumptions!$C$15*Assumptions!$C$16*($A27*Assumptions!$B$6)+Assumptions!$C$15*(1-Assumptions!$C$16)*($A27*Assumptions!$B$6)*Assumptions!$B$8+(1-Assumptions!$C$15)*6*Assumptions!$B$7)*(1-Assumptions!$C$19)-Assumptions!$C$17-Assumptions!$C$18)*(1-Assumptions!$B$45)/1000000)/(Assumptions!$B$9+Assumptions!$B$41)*(1+Assumptions!$B$9)^-Assumptions!$B$40)/(1+Assumptions!$B$9)^(Assumptions!$B$43+Assumptions!$B$44/2)-Assumptions!$B$42/(1+Assumptions!$B$9)^(Assumptions!$B$43/2))*D$24+Assumptions!$B$49*365*((Assumptions!$D$15*Assumptions!$D$16*($A27*Assumptions!$B$6)+Assumptions!$D$15*(1-Assumptions!$D$16)*($A27*Assumptions!$B$6)*Assumptions!$B$8+(1-Assumptions!$D$15)*6*Assumptions!$B$7)*(1-Assumptions!$D$19)-Assumptions!$D$17-Assumptions!$D$18)*(1-Assumptions!$B$51)/(Assumptions!$B$9+Assumptions!$B$50)/1000000+Assumptions!$B$52*1000*Assumptions!$B$53/1000000-Assumptions!$B$56/Assumptions!$B$9-Assumptions!$B$59)*(1-Assumptions!$B$60)+Assumptions!$B$57+Assumptions!$B$58)/Assumptions!$B$10</f>
        <v>29.1168017279714</v>
      </c>
      <c r="E27" s="17" t="n">
        <f aca="false">((Assumptions!$B$28*365*((Assumptions!$B$15*Assumptions!$B$16*($A27*Assumptions!$B$6)+Assumptions!$B$15*(1-Assumptions!$B$16)*($A27*Assumptions!$B$6)*Assumptions!$B$8+(1-Assumptions!$B$15)*6*Assumptions!$B$7)*(1-Assumptions!$B$19)-Assumptions!$B$17-Assumptions!$B$18)/(Assumptions!$B$9+Assumptions!$B$29)/1000000+Assumptions!$B$34*(Assumptions!$B$30*1000*((Assumptions!$B$15*Assumptions!$B$16*($A27*Assumptions!$B$6)+Assumptions!$B$15*(1-Assumptions!$B$16)*($A27*Assumptions!$B$6)*Assumptions!$B$8+(1-Assumptions!$B$15)*6*Assumptions!$B$7)*(1-Assumptions!$B$19)-Assumptions!$B$17-Assumptions!$B$18)*Assumptions!$B$31/1000000-Assumptions!$B$32)*Assumptions!$B$36*(1-(1+Assumptions!$B$9)^-Assumptions!$B$35)/Assumptions!$B$9+(((Assumptions!$B$39*365*((Assumptions!$C$15*Assumptions!$C$16*($A27*Assumptions!$B$6)+Assumptions!$C$15*(1-Assumptions!$C$16)*($A27*Assumptions!$B$6)*Assumptions!$B$8+(1-Assumptions!$C$15)*6*Assumptions!$B$7)*(1-Assumptions!$C$19)-Assumptions!$C$17-Assumptions!$C$18)*(1-Assumptions!$B$45)/1000000)*(1-(1+Assumptions!$B$9)^-Assumptions!$B$40)/Assumptions!$B$9+(Assumptions!$B$39*365*((Assumptions!$C$15*Assumptions!$C$16*($A27*Assumptions!$B$6)+Assumptions!$C$15*(1-Assumptions!$C$16)*($A27*Assumptions!$B$6)*Assumptions!$B$8+(1-Assumptions!$C$15)*6*Assumptions!$B$7)*(1-Assumptions!$C$19)-Assumptions!$C$17-Assumptions!$C$18)*(1-Assumptions!$B$45)/1000000)/(Assumptions!$B$9+Assumptions!$B$41)*(1+Assumptions!$B$9)^-Assumptions!$B$40)/(1+Assumptions!$B$9)^(Assumptions!$B$43+Assumptions!$B$44/2)-Assumptions!$B$42/(1+Assumptions!$B$9)^(Assumptions!$B$43/2))*E$24+Assumptions!$B$49*365*((Assumptions!$D$15*Assumptions!$D$16*($A27*Assumptions!$B$6)+Assumptions!$D$15*(1-Assumptions!$D$16)*($A27*Assumptions!$B$6)*Assumptions!$B$8+(1-Assumptions!$D$15)*6*Assumptions!$B$7)*(1-Assumptions!$D$19)-Assumptions!$D$17-Assumptions!$D$18)*(1-Assumptions!$B$51)/(Assumptions!$B$9+Assumptions!$B$50)/1000000+Assumptions!$B$52*1000*Assumptions!$B$53/1000000-Assumptions!$B$56/Assumptions!$B$9-Assumptions!$B$59)*(1-Assumptions!$B$60)+Assumptions!$B$57+Assumptions!$B$58)/Assumptions!$B$10</f>
        <v>29.7769587384424</v>
      </c>
      <c r="F27" s="17" t="n">
        <f aca="false">((Assumptions!$B$28*365*((Assumptions!$B$15*Assumptions!$B$16*($A27*Assumptions!$B$6)+Assumptions!$B$15*(1-Assumptions!$B$16)*($A27*Assumptions!$B$6)*Assumptions!$B$8+(1-Assumptions!$B$15)*6*Assumptions!$B$7)*(1-Assumptions!$B$19)-Assumptions!$B$17-Assumptions!$B$18)/(Assumptions!$B$9+Assumptions!$B$29)/1000000+Assumptions!$B$34*(Assumptions!$B$30*1000*((Assumptions!$B$15*Assumptions!$B$16*($A27*Assumptions!$B$6)+Assumptions!$B$15*(1-Assumptions!$B$16)*($A27*Assumptions!$B$6)*Assumptions!$B$8+(1-Assumptions!$B$15)*6*Assumptions!$B$7)*(1-Assumptions!$B$19)-Assumptions!$B$17-Assumptions!$B$18)*Assumptions!$B$31/1000000-Assumptions!$B$32)*Assumptions!$B$36*(1-(1+Assumptions!$B$9)^-Assumptions!$B$35)/Assumptions!$B$9+(((Assumptions!$B$39*365*((Assumptions!$C$15*Assumptions!$C$16*($A27*Assumptions!$B$6)+Assumptions!$C$15*(1-Assumptions!$C$16)*($A27*Assumptions!$B$6)*Assumptions!$B$8+(1-Assumptions!$C$15)*6*Assumptions!$B$7)*(1-Assumptions!$C$19)-Assumptions!$C$17-Assumptions!$C$18)*(1-Assumptions!$B$45)/1000000)*(1-(1+Assumptions!$B$9)^-Assumptions!$B$40)/Assumptions!$B$9+(Assumptions!$B$39*365*((Assumptions!$C$15*Assumptions!$C$16*($A27*Assumptions!$B$6)+Assumptions!$C$15*(1-Assumptions!$C$16)*($A27*Assumptions!$B$6)*Assumptions!$B$8+(1-Assumptions!$C$15)*6*Assumptions!$B$7)*(1-Assumptions!$C$19)-Assumptions!$C$17-Assumptions!$C$18)*(1-Assumptions!$B$45)/1000000)/(Assumptions!$B$9+Assumptions!$B$41)*(1+Assumptions!$B$9)^-Assumptions!$B$40)/(1+Assumptions!$B$9)^(Assumptions!$B$43+Assumptions!$B$44/2)-Assumptions!$B$42/(1+Assumptions!$B$9)^(Assumptions!$B$43/2))*F$24+Assumptions!$B$49*365*((Assumptions!$D$15*Assumptions!$D$16*($A27*Assumptions!$B$6)+Assumptions!$D$15*(1-Assumptions!$D$16)*($A27*Assumptions!$B$6)*Assumptions!$B$8+(1-Assumptions!$D$15)*6*Assumptions!$B$7)*(1-Assumptions!$D$19)-Assumptions!$D$17-Assumptions!$D$18)*(1-Assumptions!$B$51)/(Assumptions!$B$9+Assumptions!$B$50)/1000000+Assumptions!$B$52*1000*Assumptions!$B$53/1000000-Assumptions!$B$56/Assumptions!$B$9-Assumptions!$B$59)*(1-Assumptions!$B$60)+Assumptions!$B$57+Assumptions!$B$58)/Assumptions!$B$10</f>
        <v>30.4371157489133</v>
      </c>
    </row>
    <row r="28" customFormat="false" ht="15" hidden="false" customHeight="false" outlineLevel="0" collapsed="false">
      <c r="A28" s="42" t="n">
        <v>85</v>
      </c>
      <c r="B28" s="17" t="n">
        <f aca="false">((Assumptions!$B$28*365*((Assumptions!$B$15*Assumptions!$B$16*($A28*Assumptions!$B$6)+Assumptions!$B$15*(1-Assumptions!$B$16)*($A28*Assumptions!$B$6)*Assumptions!$B$8+(1-Assumptions!$B$15)*6*Assumptions!$B$7)*(1-Assumptions!$B$19)-Assumptions!$B$17-Assumptions!$B$18)/(Assumptions!$B$9+Assumptions!$B$29)/1000000+Assumptions!$B$34*(Assumptions!$B$30*1000*((Assumptions!$B$15*Assumptions!$B$16*($A28*Assumptions!$B$6)+Assumptions!$B$15*(1-Assumptions!$B$16)*($A28*Assumptions!$B$6)*Assumptions!$B$8+(1-Assumptions!$B$15)*6*Assumptions!$B$7)*(1-Assumptions!$B$19)-Assumptions!$B$17-Assumptions!$B$18)*Assumptions!$B$31/1000000-Assumptions!$B$32)*Assumptions!$B$36*(1-(1+Assumptions!$B$9)^-Assumptions!$B$35)/Assumptions!$B$9+(((Assumptions!$B$39*365*((Assumptions!$C$15*Assumptions!$C$16*($A28*Assumptions!$B$6)+Assumptions!$C$15*(1-Assumptions!$C$16)*($A28*Assumptions!$B$6)*Assumptions!$B$8+(1-Assumptions!$C$15)*6*Assumptions!$B$7)*(1-Assumptions!$C$19)-Assumptions!$C$17-Assumptions!$C$18)*(1-Assumptions!$B$45)/1000000)*(1-(1+Assumptions!$B$9)^-Assumptions!$B$40)/Assumptions!$B$9+(Assumptions!$B$39*365*((Assumptions!$C$15*Assumptions!$C$16*($A28*Assumptions!$B$6)+Assumptions!$C$15*(1-Assumptions!$C$16)*($A28*Assumptions!$B$6)*Assumptions!$B$8+(1-Assumptions!$C$15)*6*Assumptions!$B$7)*(1-Assumptions!$C$19)-Assumptions!$C$17-Assumptions!$C$18)*(1-Assumptions!$B$45)/1000000)/(Assumptions!$B$9+Assumptions!$B$41)*(1+Assumptions!$B$9)^-Assumptions!$B$40)/(1+Assumptions!$B$9)^(Assumptions!$B$43+Assumptions!$B$44/2)-Assumptions!$B$42/(1+Assumptions!$B$9)^(Assumptions!$B$43/2))*B$24+Assumptions!$B$49*365*((Assumptions!$D$15*Assumptions!$D$16*($A28*Assumptions!$B$6)+Assumptions!$D$15*(1-Assumptions!$D$16)*($A28*Assumptions!$B$6)*Assumptions!$B$8+(1-Assumptions!$D$15)*6*Assumptions!$B$7)*(1-Assumptions!$D$19)-Assumptions!$D$17-Assumptions!$D$18)*(1-Assumptions!$B$51)/(Assumptions!$B$9+Assumptions!$B$50)/1000000+Assumptions!$B$52*1000*Assumptions!$B$53/1000000-Assumptions!$B$56/Assumptions!$B$9-Assumptions!$B$59)*(1-Assumptions!$B$60)+Assumptions!$B$57+Assumptions!$B$58)/Assumptions!$B$10</f>
        <v>32.746845332344</v>
      </c>
      <c r="C28" s="17" t="n">
        <f aca="false">((Assumptions!$B$28*365*((Assumptions!$B$15*Assumptions!$B$16*($A28*Assumptions!$B$6)+Assumptions!$B$15*(1-Assumptions!$B$16)*($A28*Assumptions!$B$6)*Assumptions!$B$8+(1-Assumptions!$B$15)*6*Assumptions!$B$7)*(1-Assumptions!$B$19)-Assumptions!$B$17-Assumptions!$B$18)/(Assumptions!$B$9+Assumptions!$B$29)/1000000+Assumptions!$B$34*(Assumptions!$B$30*1000*((Assumptions!$B$15*Assumptions!$B$16*($A28*Assumptions!$B$6)+Assumptions!$B$15*(1-Assumptions!$B$16)*($A28*Assumptions!$B$6)*Assumptions!$B$8+(1-Assumptions!$B$15)*6*Assumptions!$B$7)*(1-Assumptions!$B$19)-Assumptions!$B$17-Assumptions!$B$18)*Assumptions!$B$31/1000000-Assumptions!$B$32)*Assumptions!$B$36*(1-(1+Assumptions!$B$9)^-Assumptions!$B$35)/Assumptions!$B$9+(((Assumptions!$B$39*365*((Assumptions!$C$15*Assumptions!$C$16*($A28*Assumptions!$B$6)+Assumptions!$C$15*(1-Assumptions!$C$16)*($A28*Assumptions!$B$6)*Assumptions!$B$8+(1-Assumptions!$C$15)*6*Assumptions!$B$7)*(1-Assumptions!$C$19)-Assumptions!$C$17-Assumptions!$C$18)*(1-Assumptions!$B$45)/1000000)*(1-(1+Assumptions!$B$9)^-Assumptions!$B$40)/Assumptions!$B$9+(Assumptions!$B$39*365*((Assumptions!$C$15*Assumptions!$C$16*($A28*Assumptions!$B$6)+Assumptions!$C$15*(1-Assumptions!$C$16)*($A28*Assumptions!$B$6)*Assumptions!$B$8+(1-Assumptions!$C$15)*6*Assumptions!$B$7)*(1-Assumptions!$C$19)-Assumptions!$C$17-Assumptions!$C$18)*(1-Assumptions!$B$45)/1000000)/(Assumptions!$B$9+Assumptions!$B$41)*(1+Assumptions!$B$9)^-Assumptions!$B$40)/(1+Assumptions!$B$9)^(Assumptions!$B$43+Assumptions!$B$44/2)-Assumptions!$B$42/(1+Assumptions!$B$9)^(Assumptions!$B$43/2))*C$24+Assumptions!$B$49*365*((Assumptions!$D$15*Assumptions!$D$16*($A28*Assumptions!$B$6)+Assumptions!$D$15*(1-Assumptions!$D$16)*($A28*Assumptions!$B$6)*Assumptions!$B$8+(1-Assumptions!$D$15)*6*Assumptions!$B$7)*(1-Assumptions!$D$19)-Assumptions!$D$17-Assumptions!$D$18)*(1-Assumptions!$B$51)/(Assumptions!$B$9+Assumptions!$B$50)/1000000+Assumptions!$B$52*1000*Assumptions!$B$53/1000000-Assumptions!$B$56/Assumptions!$B$9-Assumptions!$B$59)*(1-Assumptions!$B$60)+Assumptions!$B$57+Assumptions!$B$58)/Assumptions!$B$10</f>
        <v>33.4620353644169</v>
      </c>
      <c r="D28" s="17" t="n">
        <f aca="false">((Assumptions!$B$28*365*((Assumptions!$B$15*Assumptions!$B$16*($A28*Assumptions!$B$6)+Assumptions!$B$15*(1-Assumptions!$B$16)*($A28*Assumptions!$B$6)*Assumptions!$B$8+(1-Assumptions!$B$15)*6*Assumptions!$B$7)*(1-Assumptions!$B$19)-Assumptions!$B$17-Assumptions!$B$18)/(Assumptions!$B$9+Assumptions!$B$29)/1000000+Assumptions!$B$34*(Assumptions!$B$30*1000*((Assumptions!$B$15*Assumptions!$B$16*($A28*Assumptions!$B$6)+Assumptions!$B$15*(1-Assumptions!$B$16)*($A28*Assumptions!$B$6)*Assumptions!$B$8+(1-Assumptions!$B$15)*6*Assumptions!$B$7)*(1-Assumptions!$B$19)-Assumptions!$B$17-Assumptions!$B$18)*Assumptions!$B$31/1000000-Assumptions!$B$32)*Assumptions!$B$36*(1-(1+Assumptions!$B$9)^-Assumptions!$B$35)/Assumptions!$B$9+(((Assumptions!$B$39*365*((Assumptions!$C$15*Assumptions!$C$16*($A28*Assumptions!$B$6)+Assumptions!$C$15*(1-Assumptions!$C$16)*($A28*Assumptions!$B$6)*Assumptions!$B$8+(1-Assumptions!$C$15)*6*Assumptions!$B$7)*(1-Assumptions!$C$19)-Assumptions!$C$17-Assumptions!$C$18)*(1-Assumptions!$B$45)/1000000)*(1-(1+Assumptions!$B$9)^-Assumptions!$B$40)/Assumptions!$B$9+(Assumptions!$B$39*365*((Assumptions!$C$15*Assumptions!$C$16*($A28*Assumptions!$B$6)+Assumptions!$C$15*(1-Assumptions!$C$16)*($A28*Assumptions!$B$6)*Assumptions!$B$8+(1-Assumptions!$C$15)*6*Assumptions!$B$7)*(1-Assumptions!$C$19)-Assumptions!$C$17-Assumptions!$C$18)*(1-Assumptions!$B$45)/1000000)/(Assumptions!$B$9+Assumptions!$B$41)*(1+Assumptions!$B$9)^-Assumptions!$B$40)/(1+Assumptions!$B$9)^(Assumptions!$B$43+Assumptions!$B$44/2)-Assumptions!$B$42/(1+Assumptions!$B$9)^(Assumptions!$B$43/2))*D$24+Assumptions!$B$49*365*((Assumptions!$D$15*Assumptions!$D$16*($A28*Assumptions!$B$6)+Assumptions!$D$15*(1-Assumptions!$D$16)*($A28*Assumptions!$B$6)*Assumptions!$B$8+(1-Assumptions!$D$15)*6*Assumptions!$B$7)*(1-Assumptions!$D$19)-Assumptions!$D$17-Assumptions!$D$18)*(1-Assumptions!$B$51)/(Assumptions!$B$9+Assumptions!$B$50)/1000000+Assumptions!$B$52*1000*Assumptions!$B$53/1000000-Assumptions!$B$56/Assumptions!$B$9-Assumptions!$B$59)*(1-Assumptions!$B$60)+Assumptions!$B$57+Assumptions!$B$58)/Assumptions!$B$10</f>
        <v>34.1772253964899</v>
      </c>
      <c r="E28" s="17" t="n">
        <f aca="false">((Assumptions!$B$28*365*((Assumptions!$B$15*Assumptions!$B$16*($A28*Assumptions!$B$6)+Assumptions!$B$15*(1-Assumptions!$B$16)*($A28*Assumptions!$B$6)*Assumptions!$B$8+(1-Assumptions!$B$15)*6*Assumptions!$B$7)*(1-Assumptions!$B$19)-Assumptions!$B$17-Assumptions!$B$18)/(Assumptions!$B$9+Assumptions!$B$29)/1000000+Assumptions!$B$34*(Assumptions!$B$30*1000*((Assumptions!$B$15*Assumptions!$B$16*($A28*Assumptions!$B$6)+Assumptions!$B$15*(1-Assumptions!$B$16)*($A28*Assumptions!$B$6)*Assumptions!$B$8+(1-Assumptions!$B$15)*6*Assumptions!$B$7)*(1-Assumptions!$B$19)-Assumptions!$B$17-Assumptions!$B$18)*Assumptions!$B$31/1000000-Assumptions!$B$32)*Assumptions!$B$36*(1-(1+Assumptions!$B$9)^-Assumptions!$B$35)/Assumptions!$B$9+(((Assumptions!$B$39*365*((Assumptions!$C$15*Assumptions!$C$16*($A28*Assumptions!$B$6)+Assumptions!$C$15*(1-Assumptions!$C$16)*($A28*Assumptions!$B$6)*Assumptions!$B$8+(1-Assumptions!$C$15)*6*Assumptions!$B$7)*(1-Assumptions!$C$19)-Assumptions!$C$17-Assumptions!$C$18)*(1-Assumptions!$B$45)/1000000)*(1-(1+Assumptions!$B$9)^-Assumptions!$B$40)/Assumptions!$B$9+(Assumptions!$B$39*365*((Assumptions!$C$15*Assumptions!$C$16*($A28*Assumptions!$B$6)+Assumptions!$C$15*(1-Assumptions!$C$16)*($A28*Assumptions!$B$6)*Assumptions!$B$8+(1-Assumptions!$C$15)*6*Assumptions!$B$7)*(1-Assumptions!$C$19)-Assumptions!$C$17-Assumptions!$C$18)*(1-Assumptions!$B$45)/1000000)/(Assumptions!$B$9+Assumptions!$B$41)*(1+Assumptions!$B$9)^-Assumptions!$B$40)/(1+Assumptions!$B$9)^(Assumptions!$B$43+Assumptions!$B$44/2)-Assumptions!$B$42/(1+Assumptions!$B$9)^(Assumptions!$B$43/2))*E$24+Assumptions!$B$49*365*((Assumptions!$D$15*Assumptions!$D$16*($A28*Assumptions!$B$6)+Assumptions!$D$15*(1-Assumptions!$D$16)*($A28*Assumptions!$B$6)*Assumptions!$B$8+(1-Assumptions!$D$15)*6*Assumptions!$B$7)*(1-Assumptions!$D$19)-Assumptions!$D$17-Assumptions!$D$18)*(1-Assumptions!$B$51)/(Assumptions!$B$9+Assumptions!$B$50)/1000000+Assumptions!$B$52*1000*Assumptions!$B$53/1000000-Assumptions!$B$56/Assumptions!$B$9-Assumptions!$B$59)*(1-Assumptions!$B$60)+Assumptions!$B$57+Assumptions!$B$58)/Assumptions!$B$10</f>
        <v>34.8924154285629</v>
      </c>
      <c r="F28" s="17" t="n">
        <f aca="false">((Assumptions!$B$28*365*((Assumptions!$B$15*Assumptions!$B$16*($A28*Assumptions!$B$6)+Assumptions!$B$15*(1-Assumptions!$B$16)*($A28*Assumptions!$B$6)*Assumptions!$B$8+(1-Assumptions!$B$15)*6*Assumptions!$B$7)*(1-Assumptions!$B$19)-Assumptions!$B$17-Assumptions!$B$18)/(Assumptions!$B$9+Assumptions!$B$29)/1000000+Assumptions!$B$34*(Assumptions!$B$30*1000*((Assumptions!$B$15*Assumptions!$B$16*($A28*Assumptions!$B$6)+Assumptions!$B$15*(1-Assumptions!$B$16)*($A28*Assumptions!$B$6)*Assumptions!$B$8+(1-Assumptions!$B$15)*6*Assumptions!$B$7)*(1-Assumptions!$B$19)-Assumptions!$B$17-Assumptions!$B$18)*Assumptions!$B$31/1000000-Assumptions!$B$32)*Assumptions!$B$36*(1-(1+Assumptions!$B$9)^-Assumptions!$B$35)/Assumptions!$B$9+(((Assumptions!$B$39*365*((Assumptions!$C$15*Assumptions!$C$16*($A28*Assumptions!$B$6)+Assumptions!$C$15*(1-Assumptions!$C$16)*($A28*Assumptions!$B$6)*Assumptions!$B$8+(1-Assumptions!$C$15)*6*Assumptions!$B$7)*(1-Assumptions!$C$19)-Assumptions!$C$17-Assumptions!$C$18)*(1-Assumptions!$B$45)/1000000)*(1-(1+Assumptions!$B$9)^-Assumptions!$B$40)/Assumptions!$B$9+(Assumptions!$B$39*365*((Assumptions!$C$15*Assumptions!$C$16*($A28*Assumptions!$B$6)+Assumptions!$C$15*(1-Assumptions!$C$16)*($A28*Assumptions!$B$6)*Assumptions!$B$8+(1-Assumptions!$C$15)*6*Assumptions!$B$7)*(1-Assumptions!$C$19)-Assumptions!$C$17-Assumptions!$C$18)*(1-Assumptions!$B$45)/1000000)/(Assumptions!$B$9+Assumptions!$B$41)*(1+Assumptions!$B$9)^-Assumptions!$B$40)/(1+Assumptions!$B$9)^(Assumptions!$B$43+Assumptions!$B$44/2)-Assumptions!$B$42/(1+Assumptions!$B$9)^(Assumptions!$B$43/2))*F$24+Assumptions!$B$49*365*((Assumptions!$D$15*Assumptions!$D$16*($A28*Assumptions!$B$6)+Assumptions!$D$15*(1-Assumptions!$D$16)*($A28*Assumptions!$B$6)*Assumptions!$B$8+(1-Assumptions!$D$15)*6*Assumptions!$B$7)*(1-Assumptions!$D$19)-Assumptions!$D$17-Assumptions!$D$18)*(1-Assumptions!$B$51)/(Assumptions!$B$9+Assumptions!$B$50)/1000000+Assumptions!$B$52*1000*Assumptions!$B$53/1000000-Assumptions!$B$56/Assumptions!$B$9-Assumptions!$B$59)*(1-Assumptions!$B$60)+Assumptions!$B$57+Assumptions!$B$58)/Assumptions!$B$10</f>
        <v>35.6076054606358</v>
      </c>
    </row>
    <row r="29" customFormat="false" ht="15" hidden="false" customHeight="false" outlineLevel="0" collapsed="false">
      <c r="A29" s="42" t="n">
        <v>95</v>
      </c>
      <c r="B29" s="17" t="n">
        <f aca="false">((Assumptions!$B$28*365*((Assumptions!$B$15*Assumptions!$B$16*($A29*Assumptions!$B$6)+Assumptions!$B$15*(1-Assumptions!$B$16)*($A29*Assumptions!$B$6)*Assumptions!$B$8+(1-Assumptions!$B$15)*6*Assumptions!$B$7)*(1-Assumptions!$B$19)-Assumptions!$B$17-Assumptions!$B$18)/(Assumptions!$B$9+Assumptions!$B$29)/1000000+Assumptions!$B$34*(Assumptions!$B$30*1000*((Assumptions!$B$15*Assumptions!$B$16*($A29*Assumptions!$B$6)+Assumptions!$B$15*(1-Assumptions!$B$16)*($A29*Assumptions!$B$6)*Assumptions!$B$8+(1-Assumptions!$B$15)*6*Assumptions!$B$7)*(1-Assumptions!$B$19)-Assumptions!$B$17-Assumptions!$B$18)*Assumptions!$B$31/1000000-Assumptions!$B$32)*Assumptions!$B$36*(1-(1+Assumptions!$B$9)^-Assumptions!$B$35)/Assumptions!$B$9+(((Assumptions!$B$39*365*((Assumptions!$C$15*Assumptions!$C$16*($A29*Assumptions!$B$6)+Assumptions!$C$15*(1-Assumptions!$C$16)*($A29*Assumptions!$B$6)*Assumptions!$B$8+(1-Assumptions!$C$15)*6*Assumptions!$B$7)*(1-Assumptions!$C$19)-Assumptions!$C$17-Assumptions!$C$18)*(1-Assumptions!$B$45)/1000000)*(1-(1+Assumptions!$B$9)^-Assumptions!$B$40)/Assumptions!$B$9+(Assumptions!$B$39*365*((Assumptions!$C$15*Assumptions!$C$16*($A29*Assumptions!$B$6)+Assumptions!$C$15*(1-Assumptions!$C$16)*($A29*Assumptions!$B$6)*Assumptions!$B$8+(1-Assumptions!$C$15)*6*Assumptions!$B$7)*(1-Assumptions!$C$19)-Assumptions!$C$17-Assumptions!$C$18)*(1-Assumptions!$B$45)/1000000)/(Assumptions!$B$9+Assumptions!$B$41)*(1+Assumptions!$B$9)^-Assumptions!$B$40)/(1+Assumptions!$B$9)^(Assumptions!$B$43+Assumptions!$B$44/2)-Assumptions!$B$42/(1+Assumptions!$B$9)^(Assumptions!$B$43/2))*B$24+Assumptions!$B$49*365*((Assumptions!$D$15*Assumptions!$D$16*($A29*Assumptions!$B$6)+Assumptions!$D$15*(1-Assumptions!$D$16)*($A29*Assumptions!$B$6)*Assumptions!$B$8+(1-Assumptions!$D$15)*6*Assumptions!$B$7)*(1-Assumptions!$D$19)-Assumptions!$D$17-Assumptions!$D$18)*(1-Assumptions!$B$51)/(Assumptions!$B$9+Assumptions!$B$50)/1000000+Assumptions!$B$52*1000*Assumptions!$B$53/1000000-Assumptions!$B$56/Assumptions!$B$9-Assumptions!$B$59)*(1-Assumptions!$B$60)+Assumptions!$B$57+Assumptions!$B$58)/Assumptions!$B$10</f>
        <v>37.6972029576585</v>
      </c>
      <c r="C29" s="17" t="n">
        <f aca="false">((Assumptions!$B$28*365*((Assumptions!$B$15*Assumptions!$B$16*($A29*Assumptions!$B$6)+Assumptions!$B$15*(1-Assumptions!$B$16)*($A29*Assumptions!$B$6)*Assumptions!$B$8+(1-Assumptions!$B$15)*6*Assumptions!$B$7)*(1-Assumptions!$B$19)-Assumptions!$B$17-Assumptions!$B$18)/(Assumptions!$B$9+Assumptions!$B$29)/1000000+Assumptions!$B$34*(Assumptions!$B$30*1000*((Assumptions!$B$15*Assumptions!$B$16*($A29*Assumptions!$B$6)+Assumptions!$B$15*(1-Assumptions!$B$16)*($A29*Assumptions!$B$6)*Assumptions!$B$8+(1-Assumptions!$B$15)*6*Assumptions!$B$7)*(1-Assumptions!$B$19)-Assumptions!$B$17-Assumptions!$B$18)*Assumptions!$B$31/1000000-Assumptions!$B$32)*Assumptions!$B$36*(1-(1+Assumptions!$B$9)^-Assumptions!$B$35)/Assumptions!$B$9+(((Assumptions!$B$39*365*((Assumptions!$C$15*Assumptions!$C$16*($A29*Assumptions!$B$6)+Assumptions!$C$15*(1-Assumptions!$C$16)*($A29*Assumptions!$B$6)*Assumptions!$B$8+(1-Assumptions!$C$15)*6*Assumptions!$B$7)*(1-Assumptions!$C$19)-Assumptions!$C$17-Assumptions!$C$18)*(1-Assumptions!$B$45)/1000000)*(1-(1+Assumptions!$B$9)^-Assumptions!$B$40)/Assumptions!$B$9+(Assumptions!$B$39*365*((Assumptions!$C$15*Assumptions!$C$16*($A29*Assumptions!$B$6)+Assumptions!$C$15*(1-Assumptions!$C$16)*($A29*Assumptions!$B$6)*Assumptions!$B$8+(1-Assumptions!$C$15)*6*Assumptions!$B$7)*(1-Assumptions!$C$19)-Assumptions!$C$17-Assumptions!$C$18)*(1-Assumptions!$B$45)/1000000)/(Assumptions!$B$9+Assumptions!$B$41)*(1+Assumptions!$B$9)^-Assumptions!$B$40)/(1+Assumptions!$B$9)^(Assumptions!$B$43+Assumptions!$B$44/2)-Assumptions!$B$42/(1+Assumptions!$B$9)^(Assumptions!$B$43/2))*C$24+Assumptions!$B$49*365*((Assumptions!$D$15*Assumptions!$D$16*($A29*Assumptions!$B$6)+Assumptions!$D$15*(1-Assumptions!$D$16)*($A29*Assumptions!$B$6)*Assumptions!$B$8+(1-Assumptions!$D$15)*6*Assumptions!$B$7)*(1-Assumptions!$D$19)-Assumptions!$D$17-Assumptions!$D$18)*(1-Assumptions!$B$51)/(Assumptions!$B$9+Assumptions!$B$50)/1000000+Assumptions!$B$52*1000*Assumptions!$B$53/1000000-Assumptions!$B$56/Assumptions!$B$9-Assumptions!$B$59)*(1-Assumptions!$B$60)+Assumptions!$B$57+Assumptions!$B$58)/Assumptions!$B$10</f>
        <v>38.4674260113335</v>
      </c>
      <c r="D29" s="17" t="n">
        <f aca="false">((Assumptions!$B$28*365*((Assumptions!$B$15*Assumptions!$B$16*($A29*Assumptions!$B$6)+Assumptions!$B$15*(1-Assumptions!$B$16)*($A29*Assumptions!$B$6)*Assumptions!$B$8+(1-Assumptions!$B$15)*6*Assumptions!$B$7)*(1-Assumptions!$B$19)-Assumptions!$B$17-Assumptions!$B$18)/(Assumptions!$B$9+Assumptions!$B$29)/1000000+Assumptions!$B$34*(Assumptions!$B$30*1000*((Assumptions!$B$15*Assumptions!$B$16*($A29*Assumptions!$B$6)+Assumptions!$B$15*(1-Assumptions!$B$16)*($A29*Assumptions!$B$6)*Assumptions!$B$8+(1-Assumptions!$B$15)*6*Assumptions!$B$7)*(1-Assumptions!$B$19)-Assumptions!$B$17-Assumptions!$B$18)*Assumptions!$B$31/1000000-Assumptions!$B$32)*Assumptions!$B$36*(1-(1+Assumptions!$B$9)^-Assumptions!$B$35)/Assumptions!$B$9+(((Assumptions!$B$39*365*((Assumptions!$C$15*Assumptions!$C$16*($A29*Assumptions!$B$6)+Assumptions!$C$15*(1-Assumptions!$C$16)*($A29*Assumptions!$B$6)*Assumptions!$B$8+(1-Assumptions!$C$15)*6*Assumptions!$B$7)*(1-Assumptions!$C$19)-Assumptions!$C$17-Assumptions!$C$18)*(1-Assumptions!$B$45)/1000000)*(1-(1+Assumptions!$B$9)^-Assumptions!$B$40)/Assumptions!$B$9+(Assumptions!$B$39*365*((Assumptions!$C$15*Assumptions!$C$16*($A29*Assumptions!$B$6)+Assumptions!$C$15*(1-Assumptions!$C$16)*($A29*Assumptions!$B$6)*Assumptions!$B$8+(1-Assumptions!$C$15)*6*Assumptions!$B$7)*(1-Assumptions!$C$19)-Assumptions!$C$17-Assumptions!$C$18)*(1-Assumptions!$B$45)/1000000)/(Assumptions!$B$9+Assumptions!$B$41)*(1+Assumptions!$B$9)^-Assumptions!$B$40)/(1+Assumptions!$B$9)^(Assumptions!$B$43+Assumptions!$B$44/2)-Assumptions!$B$42/(1+Assumptions!$B$9)^(Assumptions!$B$43/2))*D$24+Assumptions!$B$49*365*((Assumptions!$D$15*Assumptions!$D$16*($A29*Assumptions!$B$6)+Assumptions!$D$15*(1-Assumptions!$D$16)*($A29*Assumptions!$B$6)*Assumptions!$B$8+(1-Assumptions!$D$15)*6*Assumptions!$B$7)*(1-Assumptions!$D$19)-Assumptions!$D$17-Assumptions!$D$18)*(1-Assumptions!$B$51)/(Assumptions!$B$9+Assumptions!$B$50)/1000000+Assumptions!$B$52*1000*Assumptions!$B$53/1000000-Assumptions!$B$56/Assumptions!$B$9-Assumptions!$B$59)*(1-Assumptions!$B$60)+Assumptions!$B$57+Assumptions!$B$58)/Assumptions!$B$10</f>
        <v>39.2376490650084</v>
      </c>
      <c r="E29" s="17" t="n">
        <f aca="false">((Assumptions!$B$28*365*((Assumptions!$B$15*Assumptions!$B$16*($A29*Assumptions!$B$6)+Assumptions!$B$15*(1-Assumptions!$B$16)*($A29*Assumptions!$B$6)*Assumptions!$B$8+(1-Assumptions!$B$15)*6*Assumptions!$B$7)*(1-Assumptions!$B$19)-Assumptions!$B$17-Assumptions!$B$18)/(Assumptions!$B$9+Assumptions!$B$29)/1000000+Assumptions!$B$34*(Assumptions!$B$30*1000*((Assumptions!$B$15*Assumptions!$B$16*($A29*Assumptions!$B$6)+Assumptions!$B$15*(1-Assumptions!$B$16)*($A29*Assumptions!$B$6)*Assumptions!$B$8+(1-Assumptions!$B$15)*6*Assumptions!$B$7)*(1-Assumptions!$B$19)-Assumptions!$B$17-Assumptions!$B$18)*Assumptions!$B$31/1000000-Assumptions!$B$32)*Assumptions!$B$36*(1-(1+Assumptions!$B$9)^-Assumptions!$B$35)/Assumptions!$B$9+(((Assumptions!$B$39*365*((Assumptions!$C$15*Assumptions!$C$16*($A29*Assumptions!$B$6)+Assumptions!$C$15*(1-Assumptions!$C$16)*($A29*Assumptions!$B$6)*Assumptions!$B$8+(1-Assumptions!$C$15)*6*Assumptions!$B$7)*(1-Assumptions!$C$19)-Assumptions!$C$17-Assumptions!$C$18)*(1-Assumptions!$B$45)/1000000)*(1-(1+Assumptions!$B$9)^-Assumptions!$B$40)/Assumptions!$B$9+(Assumptions!$B$39*365*((Assumptions!$C$15*Assumptions!$C$16*($A29*Assumptions!$B$6)+Assumptions!$C$15*(1-Assumptions!$C$16)*($A29*Assumptions!$B$6)*Assumptions!$B$8+(1-Assumptions!$C$15)*6*Assumptions!$B$7)*(1-Assumptions!$C$19)-Assumptions!$C$17-Assumptions!$C$18)*(1-Assumptions!$B$45)/1000000)/(Assumptions!$B$9+Assumptions!$B$41)*(1+Assumptions!$B$9)^-Assumptions!$B$40)/(1+Assumptions!$B$9)^(Assumptions!$B$43+Assumptions!$B$44/2)-Assumptions!$B$42/(1+Assumptions!$B$9)^(Assumptions!$B$43/2))*E$24+Assumptions!$B$49*365*((Assumptions!$D$15*Assumptions!$D$16*($A29*Assumptions!$B$6)+Assumptions!$D$15*(1-Assumptions!$D$16)*($A29*Assumptions!$B$6)*Assumptions!$B$8+(1-Assumptions!$D$15)*6*Assumptions!$B$7)*(1-Assumptions!$D$19)-Assumptions!$D$17-Assumptions!$D$18)*(1-Assumptions!$B$51)/(Assumptions!$B$9+Assumptions!$B$50)/1000000+Assumptions!$B$52*1000*Assumptions!$B$53/1000000-Assumptions!$B$56/Assumptions!$B$9-Assumptions!$B$59)*(1-Assumptions!$B$60)+Assumptions!$B$57+Assumptions!$B$58)/Assumptions!$B$10</f>
        <v>40.0078721186834</v>
      </c>
      <c r="F29" s="17" t="n">
        <f aca="false">((Assumptions!$B$28*365*((Assumptions!$B$15*Assumptions!$B$16*($A29*Assumptions!$B$6)+Assumptions!$B$15*(1-Assumptions!$B$16)*($A29*Assumptions!$B$6)*Assumptions!$B$8+(1-Assumptions!$B$15)*6*Assumptions!$B$7)*(1-Assumptions!$B$19)-Assumptions!$B$17-Assumptions!$B$18)/(Assumptions!$B$9+Assumptions!$B$29)/1000000+Assumptions!$B$34*(Assumptions!$B$30*1000*((Assumptions!$B$15*Assumptions!$B$16*($A29*Assumptions!$B$6)+Assumptions!$B$15*(1-Assumptions!$B$16)*($A29*Assumptions!$B$6)*Assumptions!$B$8+(1-Assumptions!$B$15)*6*Assumptions!$B$7)*(1-Assumptions!$B$19)-Assumptions!$B$17-Assumptions!$B$18)*Assumptions!$B$31/1000000-Assumptions!$B$32)*Assumptions!$B$36*(1-(1+Assumptions!$B$9)^-Assumptions!$B$35)/Assumptions!$B$9+(((Assumptions!$B$39*365*((Assumptions!$C$15*Assumptions!$C$16*($A29*Assumptions!$B$6)+Assumptions!$C$15*(1-Assumptions!$C$16)*($A29*Assumptions!$B$6)*Assumptions!$B$8+(1-Assumptions!$C$15)*6*Assumptions!$B$7)*(1-Assumptions!$C$19)-Assumptions!$C$17-Assumptions!$C$18)*(1-Assumptions!$B$45)/1000000)*(1-(1+Assumptions!$B$9)^-Assumptions!$B$40)/Assumptions!$B$9+(Assumptions!$B$39*365*((Assumptions!$C$15*Assumptions!$C$16*($A29*Assumptions!$B$6)+Assumptions!$C$15*(1-Assumptions!$C$16)*($A29*Assumptions!$B$6)*Assumptions!$B$8+(1-Assumptions!$C$15)*6*Assumptions!$B$7)*(1-Assumptions!$C$19)-Assumptions!$C$17-Assumptions!$C$18)*(1-Assumptions!$B$45)/1000000)/(Assumptions!$B$9+Assumptions!$B$41)*(1+Assumptions!$B$9)^-Assumptions!$B$40)/(1+Assumptions!$B$9)^(Assumptions!$B$43+Assumptions!$B$44/2)-Assumptions!$B$42/(1+Assumptions!$B$9)^(Assumptions!$B$43/2))*F$24+Assumptions!$B$49*365*((Assumptions!$D$15*Assumptions!$D$16*($A29*Assumptions!$B$6)+Assumptions!$D$15*(1-Assumptions!$D$16)*($A29*Assumptions!$B$6)*Assumptions!$B$8+(1-Assumptions!$D$15)*6*Assumptions!$B$7)*(1-Assumptions!$D$19)-Assumptions!$D$17-Assumptions!$D$18)*(1-Assumptions!$B$51)/(Assumptions!$B$9+Assumptions!$B$50)/1000000+Assumptions!$B$52*1000*Assumptions!$B$53/1000000-Assumptions!$B$56/Assumptions!$B$9-Assumptions!$B$59)*(1-Assumptions!$B$60)+Assumptions!$B$57+Assumptions!$B$58)/Assumptions!$B$10</f>
        <v>40.7780951723583</v>
      </c>
    </row>
    <row r="31" customFormat="false" ht="15" hidden="false" customHeight="false" outlineLevel="0" collapsed="false">
      <c r="A31" s="43" t="s">
        <v>161</v>
      </c>
      <c r="B31" s="43"/>
      <c r="C31" s="43"/>
      <c r="D31" s="43"/>
      <c r="E31" s="43"/>
      <c r="F31" s="43"/>
      <c r="G31" s="43"/>
    </row>
    <row r="33" customFormat="false" ht="15" hidden="false" customHeight="false" outlineLevel="0" collapsed="false">
      <c r="A33" s="3" t="s">
        <v>162</v>
      </c>
      <c r="B33" s="4"/>
      <c r="C33" s="4"/>
      <c r="D33" s="4"/>
      <c r="E33" s="4"/>
      <c r="F33" s="4"/>
      <c r="G33" s="4"/>
    </row>
    <row r="34" customFormat="false" ht="30" hidden="false" customHeight="true" outlineLevel="0" collapsed="false">
      <c r="A34" s="44" t="s">
        <v>163</v>
      </c>
      <c r="B34" s="44"/>
      <c r="C34" s="44"/>
      <c r="D34" s="44"/>
      <c r="E34" s="44"/>
      <c r="F34" s="44"/>
      <c r="G34" s="44"/>
    </row>
    <row r="35" customFormat="false" ht="30" hidden="false" customHeight="true" outlineLevel="0" collapsed="false">
      <c r="A35" s="44" t="s">
        <v>164</v>
      </c>
      <c r="B35" s="44"/>
      <c r="C35" s="44"/>
      <c r="D35" s="44"/>
      <c r="E35" s="44"/>
      <c r="F35" s="44"/>
      <c r="G35" s="44"/>
    </row>
    <row r="36" customFormat="false" ht="30" hidden="false" customHeight="true" outlineLevel="0" collapsed="false">
      <c r="A36" s="44" t="s">
        <v>165</v>
      </c>
      <c r="B36" s="44"/>
      <c r="C36" s="44"/>
      <c r="D36" s="44"/>
      <c r="E36" s="44"/>
      <c r="F36" s="44"/>
      <c r="G36" s="44"/>
    </row>
  </sheetData>
  <mergeCells count="4">
    <mergeCell ref="A31:G31"/>
    <mergeCell ref="A34:G34"/>
    <mergeCell ref="A35:G35"/>
    <mergeCell ref="A36:G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2026-08-26T01:42:06Z</dcterms:created>
  <dc:creator>openpyxl</dc:creator>
  <dc:description/>
  <dc:language>en-US</dc:language>
  <cp:lastModifiedBy/>
  <dcterms:modified xsi:type="dcterms:W3CDTF">2026-08-26T01:42:06Z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