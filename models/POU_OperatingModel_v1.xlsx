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Production" sheetId="3" state="visible" r:id="rId5"/>
    <sheet name="Revenue_Netback" sheetId="4" state="visible" r:id="rId6"/>
    <sheet name="Cash_Flow" sheetId="5" state="visible" r:id="rId7"/>
    <sheet name="Summa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<sst xmlns="http://schemas.openxmlformats.org/spreadsheetml/2006/main" count="315" uniqueCount="191">
  <si>
    <t xml:space="preserve">Paramount Resources — Module 2: Five-Year Operating Model</t>
  </si>
  <si>
    <t xml:space="preserve">Asset-level production forecast driving revenue, netback, adjusted funds flow and free cash flow, 2026E–2030E.</t>
  </si>
  <si>
    <t xml:space="preserve">HOW THIS MODEL WORKS</t>
  </si>
  <si>
    <t xml:space="preserve">Structure</t>
  </si>
  <si>
    <t xml:space="preserve">Assumptions drive Production, which drives Revenue_Netback, which drives Cash_Flow. Summary reports outputs and runs sanity checks against company guidance.</t>
  </si>
  <si>
    <t xml:space="preserve">Scenario switch</t>
  </si>
  <si>
    <t xml:space="preserve">Assumptions!B4. Enter 1 for Bear, 2 for Base, 3 for Bull. Every price line re-reads automatically.</t>
  </si>
  <si>
    <t xml:space="preserve">Self-contained</t>
  </si>
  <si>
    <t xml:space="preserve">The price deck is duplicated here rather than linked to the Data Book, so the file runs standalone. If you change the deck in one file, change it in both.</t>
  </si>
  <si>
    <t xml:space="preserve">Units</t>
  </si>
  <si>
    <t xml:space="preserve">Volumes in Boe/d unless stated. Gas converted at 6 Mcf : 1 Boe. All dollars are Canadian millions unless stated.</t>
  </si>
  <si>
    <t xml:space="preserve">Colour</t>
  </si>
  <si>
    <t xml:space="preserve">Blue = hardcoded assumption you own. Black = formula. Green = cross-sheet link. Yellow = the levers that move the answer.</t>
  </si>
  <si>
    <t xml:space="preserve">THE THREE JUDGEMENTS THAT DRIVE THE ANSWER</t>
  </si>
  <si>
    <t xml:space="preserve">1. Willesden Green ramp</t>
  </si>
  <si>
    <t xml:space="preserve">Grows from ~27.5 kBoe/d in Q2 2026 toward the company's stated ~50 kBoe/d plateau. Liquids-rich (~55%), so it carries the revenue.</t>
  </si>
  <si>
    <t xml:space="preserve">2. Sinclair timing</t>
  </si>
  <si>
    <t xml:space="preserve">First gas Q4 2027, ramping through 2028. Firm egress of 335 MMcf/d caps it near 56 kBoe/d. Dry gas, so it adds volume far faster than it adds netback.</t>
  </si>
  <si>
    <t xml:space="preserve">3. Kaybob decline</t>
  </si>
  <si>
    <t xml:space="preserve">Held at 19–20 kBoe/d to 2028 per company guidance, then declining as capital stays with the growth assets.</t>
  </si>
  <si>
    <t xml:space="preserve">RECONCILIATION TO GUIDANCE — read this before defending the model</t>
  </si>
  <si>
    <t xml:space="preserve">2026E and 2027E</t>
  </si>
  <si>
    <t xml:space="preserve">Tuned to land inside company guidance. Summary tab checks this automatically.</t>
  </si>
  <si>
    <t xml:space="preserve">The 2027 exit rate</t>
  </si>
  <si>
    <t xml:space="preserve">The company guides to over 100,000 Boe/d exiting 2027 while guiding 2027 average volumes of only 60,000–65,000. Those reconcile only if the exit rate is a December spot rate rather than a Q4 average. This model assumes exactly that, and it is the single most important interpretive call in the file. State it out loud in any interview.</t>
  </si>
  <si>
    <t xml:space="preserve">The oil price deck</t>
  </si>
  <si>
    <t xml:space="preserve">WTI traded near US$86 in late August 2026, driven by US-Iran tension and Strait of Hormuz disruption, with futures in backwardation. The Base case therefore starts near spot and declines as the geopolitical risk premium unwinds toward mid-cycle. Bear assumes rapid de-escalation; Bull assumes sustained disruption. Do not model spot flat for five years — the forward curve does not.</t>
  </si>
  <si>
    <t xml:space="preserve">2028E–2030E</t>
  </si>
  <si>
    <t xml:space="preserve">No company guidance exists. These are my assumptions and should be defended on Sinclair egress capacity and the Willesden Green plateau, not on management statements.</t>
  </si>
  <si>
    <t xml:space="preserve">Hypothetical case study. Not investment advice.</t>
  </si>
  <si>
    <t xml:space="preserve">Assumptions &amp; Scenario Switch</t>
  </si>
  <si>
    <t xml:space="preserve">Yellow cells are the levers. Everything downstream is formula-driven off this sheet.</t>
  </si>
  <si>
    <t xml:space="preserve">SCENARIO  (1 = Bear, 2 = Base, 3 = Bull)</t>
  </si>
  <si>
    <t xml:space="preserve">Change this one cell to re-run the whole model.</t>
  </si>
  <si>
    <t xml:space="preserve">BEAR PRICE DECK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</si>
  <si>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</si>
  <si>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</si>
  <si>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</si>
  <si>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</si>
  <si>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</si>
  <si>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Note</t>
  </si>
  <si>
    <t xml:space="preserve">WTI (US$/Bbl)</t>
  </si>
  <si>
    <t xml:space="preserve">AECO (C$/GJ)</t>
  </si>
  <si>
    <t xml:space="preserve">Diversification premium (C$/GJ)</t>
  </si>
  <si>
    <t xml:space="preserve">CAD/USD</t>
  </si>
  <si>
    <t xml:space="preserve">Condensate diff. to WTI (C$/Bbl)</t>
  </si>
  <si>
    <t xml:space="preserve">BASE PRICE DECK</t>
  </si>
  <si>
    <t xml:space="preserve">BULL PRICE DECK</t>
  </si>
  <si>
    <t xml:space="preserve">ACTIVE PRICE DECK — read by Revenue_Netback</t>
  </si>
  <si>
    <t xml:space="preserve">REALISED PRICE BUILD</t>
  </si>
  <si>
    <t xml:space="preserve">Realised natural gas (C$/Mcf)</t>
  </si>
  <si>
    <t xml:space="preserve">GJ to Mcf at 1.055. Roughly 48% of gas is priced at Dawn, Malin and Emerson rather than AECO, which is what the premium represents.</t>
  </si>
  <si>
    <t xml:space="preserve">Realised condensate and oil (C$/Bbl)</t>
  </si>
  <si>
    <t xml:space="preserve">Validated on Q1 2026: actual C$96.27 vs WTI ~US$70 x 1.37 = C$95.9. Q2 2026 printed C$126.96 because WTI spiked on Hormuz disruption.</t>
  </si>
  <si>
    <t xml:space="preserve">Realised other NGLs (C$/Bbl)</t>
  </si>
  <si>
    <t xml:space="preserve">   Other NGLs as % of condensate price</t>
  </si>
  <si>
    <t xml:space="preserve">Historical range roughly 30–36%. Ethane, propane and butane.</t>
  </si>
  <si>
    <t xml:space="preserve">PRODUCTION — ANNUAL AVERAGE BY ASSET (Boe/d)</t>
  </si>
  <si>
    <t xml:space="preserve">Willesden Green</t>
  </si>
  <si>
    <t xml:space="preserve">Q4 2026 implied ~42 kBoe/d as Alhambra phase 2 fills. Plateaus at the company's stated ~50 kBoe/d.</t>
  </si>
  <si>
    <t xml:space="preserve">Kaybob</t>
  </si>
  <si>
    <t xml:space="preserve">Company guides 19–20 kBoe/d through 2028. Declines thereafter as capital stays with growth assets.</t>
  </si>
  <si>
    <t xml:space="preserve">Sinclair</t>
  </si>
  <si>
    <t xml:space="preserve">First gas Q4 2027, so 2027 is a partial-quarter average only. Capped near 56 kBoe/d by 335 MMcf/d firm egress.</t>
  </si>
  <si>
    <t xml:space="preserve">Other properties</t>
  </si>
  <si>
    <t xml:space="preserve">Total sales volumes (Boe/d)</t>
  </si>
  <si>
    <t xml:space="preserve">PRODUCT MIX BY ASSET (% of Boe that is liquids, and condensate share of those liquids)</t>
  </si>
  <si>
    <t xml:space="preserve">Willesden Green — liquids %</t>
  </si>
  <si>
    <t xml:space="preserve">Q2 2026 actual was ~55%. Liquids-rich Duvernay.</t>
  </si>
  <si>
    <t xml:space="preserve">Willesden Green — condensate share of liquids</t>
  </si>
  <si>
    <t xml:space="preserve">Kaybob — liquids %</t>
  </si>
  <si>
    <t xml:space="preserve">Kaybob — condensate share of liquids</t>
  </si>
  <si>
    <t xml:space="preserve">Sinclair — liquids %</t>
  </si>
  <si>
    <t xml:space="preserve">Dry gas Montney. Adds volume much faster than it adds netback.</t>
  </si>
  <si>
    <t xml:space="preserve">Sinclair — condensate share of liquids</t>
  </si>
  <si>
    <t xml:space="preserve">Other — liquids %</t>
  </si>
  <si>
    <t xml:space="preserve">Other — condensate share of liquids</t>
  </si>
  <si>
    <t xml:space="preserve">UNIT COSTS AND CORPORATE ITEMS</t>
  </si>
  <si>
    <t xml:space="preserve">Royalty rate (% of petroleum and natural gas sales)</t>
  </si>
  <si>
    <t xml:space="preserve">Q2 2026 was 5.4%. Rises as new-well royalty rate holidays are consumed. A commonly missed driver.</t>
  </si>
  <si>
    <t xml:space="preserve">Operating expense (C$/Boe)</t>
  </si>
  <si>
    <t xml:space="preserve">Q2 2026 was C$8.66 and falling. Sinclair volumes dilute the corporate average further.</t>
  </si>
  <si>
    <t xml:space="preserve">Transportation and NGLs processing (C$/Boe)</t>
  </si>
  <si>
    <t xml:space="preserve">General and administrative (C$/Boe)</t>
  </si>
  <si>
    <t xml:space="preserve">Risk management settlements (C$/Boe)</t>
  </si>
  <si>
    <t xml:space="preserve">Q2 2026 was negative C$2.48. Hedges roll off after 2027, leaving the model unhedged.</t>
  </si>
  <si>
    <t xml:space="preserve">Cash tax rate (% of pre-tax cash flow)</t>
  </si>
  <si>
    <t xml:space="preserve">Nil near-term: large tax pools remain from the Grande Prairie disposition. Verify pool balances in the AIF before defending.</t>
  </si>
  <si>
    <t xml:space="preserve">Net interest income / (expense) (C$mm)</t>
  </si>
  <si>
    <t xml:space="preserve">Interest earned on cash early, modest drawings later. Revisit if the funding gap is financed with debt.</t>
  </si>
  <si>
    <t xml:space="preserve">CAPITAL AND RETURNS</t>
  </si>
  <si>
    <t xml:space="preserve">Capital expenditures (C$mm)</t>
  </si>
  <si>
    <t xml:space="preserve">2026 and 2027 are company guidance. 2028 onward assumes Sinclair construction is complete and spending normalises.</t>
  </si>
  <si>
    <t xml:space="preserve">Abandonment and reclamation (C$mm)</t>
  </si>
  <si>
    <t xml:space="preserve">Dividend per share (C$)</t>
  </si>
  <si>
    <t xml:space="preserve">ASSUMPTION — confirm the current declared rate before use.</t>
  </si>
  <si>
    <t xml:space="preserve">Shares outstanding (mm)</t>
  </si>
  <si>
    <t xml:space="preserve">Opening net cash at 1-Jan-2026 (C$mm)</t>
  </si>
  <si>
    <t xml:space="preserve">Actual at 31-Dec-2025. Only the 2026 cell is used; later years roll forward.</t>
  </si>
  <si>
    <t xml:space="preserve">Production Forecast</t>
  </si>
  <si>
    <t xml:space="preserve">Asset volumes converted into gas, condensate and NGL streams. All links green to Assumptions.</t>
  </si>
  <si>
    <t xml:space="preserve">VOLUMES BY ASSET (Boe/d)</t>
  </si>
  <si>
    <t xml:space="preserve">Total (Boe/d)</t>
  </si>
  <si>
    <t xml:space="preserve">Year-over-year growth</t>
  </si>
  <si>
    <t xml:space="preserve">2026 growth is measured against the 2026 guidance midpoint reconstruction of 52,133 Boe/d.</t>
  </si>
  <si>
    <t xml:space="preserve">LIQUIDS AND GAS SPLIT (Boe/d)</t>
  </si>
  <si>
    <t xml:space="preserve">   Willesden Green — liquids</t>
  </si>
  <si>
    <t xml:space="preserve">   Kaybob — liquids</t>
  </si>
  <si>
    <t xml:space="preserve">   Sinclair — liquids</t>
  </si>
  <si>
    <t xml:space="preserve">   Other — liquids</t>
  </si>
  <si>
    <t xml:space="preserve">Total liquids (Bbl/d)</t>
  </si>
  <si>
    <t xml:space="preserve">Total natural gas (Boe/d)</t>
  </si>
  <si>
    <t xml:space="preserve">Liquids as % of total</t>
  </si>
  <si>
    <t xml:space="preserve">Watch this fall as Sinclair dry gas arrives. It is the reason revenue per Boe declines even as volumes double.</t>
  </si>
  <si>
    <t xml:space="preserve">SALES STREAMS</t>
  </si>
  <si>
    <t xml:space="preserve">   Willesden Green — condensate</t>
  </si>
  <si>
    <t xml:space="preserve">   Kaybob — condensate</t>
  </si>
  <si>
    <t xml:space="preserve">   Sinclair — condensate</t>
  </si>
  <si>
    <t xml:space="preserve">   Other — condensate</t>
  </si>
  <si>
    <t xml:space="preserve">Condensate and oil (Bbl/d)</t>
  </si>
  <si>
    <t xml:space="preserve">Other NGLs (Bbl/d)</t>
  </si>
  <si>
    <t xml:space="preserve">Natural gas (MMcf/d)</t>
  </si>
  <si>
    <t xml:space="preserve">Sanity check: FY2025 actual was 131.9 MMcf/d; Q2 2026 was 144.4 MMcf/d.</t>
  </si>
  <si>
    <t xml:space="preserve">Check — streams reconvert to total Boe/d</t>
  </si>
  <si>
    <t xml:space="preserve">Must be zero in every column.</t>
  </si>
  <si>
    <t xml:space="preserve">Revenue and Netback</t>
  </si>
  <si>
    <t xml:space="preserve">Volumes times realised prices, less royalties, operating and transportation costs.</t>
  </si>
  <si>
    <t xml:space="preserve">REVENUE (C$mm)</t>
  </si>
  <si>
    <t xml:space="preserve">Natural gas</t>
  </si>
  <si>
    <t xml:space="preserve">Condensate and oil</t>
  </si>
  <si>
    <t xml:space="preserve">Other NGLs</t>
  </si>
  <si>
    <t xml:space="preserve">Petroleum and natural gas sales</t>
  </si>
  <si>
    <t xml:space="preserve">   Revenue per Boe (C$)</t>
  </si>
  <si>
    <t xml:space="preserve">Q2 2026 actual was C$60.59/Boe. Expect this to fall as Sinclair gas dilutes the mix.</t>
  </si>
  <si>
    <t xml:space="preserve">NETBACK (C$mm)</t>
  </si>
  <si>
    <t xml:space="preserve">Royalties</t>
  </si>
  <si>
    <t xml:space="preserve">Operating expense</t>
  </si>
  <si>
    <t xml:space="preserve">Transportation and NGLs processing</t>
  </si>
  <si>
    <t xml:space="preserve">Operating netback</t>
  </si>
  <si>
    <t xml:space="preserve">Risk management settlements</t>
  </si>
  <si>
    <t xml:space="preserve">Netback including risk management</t>
  </si>
  <si>
    <t xml:space="preserve">   Netback per Boe (C$)</t>
  </si>
  <si>
    <t xml:space="preserve">FY2025 actual was C$31.96 including hedges; Q2 2026 was C$41.69. This is the headline unit economic.</t>
  </si>
  <si>
    <t xml:space="preserve">Adjusted Funds Flow and Free Cash Flow</t>
  </si>
  <si>
    <t xml:space="preserve">Netback less corporate costs, then capital. The net cash rollforward is the solvency test.</t>
  </si>
  <si>
    <t xml:space="preserve">ADJUSTED FUNDS FLOW (C$mm)</t>
  </si>
  <si>
    <t xml:space="preserve">General and administrative</t>
  </si>
  <si>
    <t xml:space="preserve">Net interest income / (expense)</t>
  </si>
  <si>
    <t xml:space="preserve">Pre-tax cash flow</t>
  </si>
  <si>
    <t xml:space="preserve">Cash taxes</t>
  </si>
  <si>
    <t xml:space="preserve">Adjusted funds flow</t>
  </si>
  <si>
    <t xml:space="preserve">   Adjusted funds flow per share (C$)</t>
  </si>
  <si>
    <t xml:space="preserve">FREE CASH FLOW (C$mm)</t>
  </si>
  <si>
    <t xml:space="preserve">Capital expenditures</t>
  </si>
  <si>
    <t xml:space="preserve">Abandonment and reclamation</t>
  </si>
  <si>
    <t xml:space="preserve">Free cash flow before dividends</t>
  </si>
  <si>
    <t xml:space="preserve">Dividends</t>
  </si>
  <si>
    <t xml:space="preserve">Free cash flow after dividends</t>
  </si>
  <si>
    <t xml:space="preserve">   Capital intensity (capex / AFF)</t>
  </si>
  <si>
    <t xml:space="preserve">Above 1.0x is outspend. The year this crosses below 1.0x is when the equity story changes.</t>
  </si>
  <si>
    <t xml:space="preserve">NET CASH / (NET DEBT) ROLLFORWARD (C$mm)</t>
  </si>
  <si>
    <t xml:space="preserve">Opening net cash / (net debt)</t>
  </si>
  <si>
    <t xml:space="preserve">Closing net cash / (net debt)</t>
  </si>
  <si>
    <t xml:space="preserve">Negative means net debt. Compare against C$750mm of undrawn facilities — that is the true liquidity runway.</t>
  </si>
  <si>
    <t xml:space="preserve">Net debt / AFF</t>
  </si>
  <si>
    <t xml:space="preserve">Canadian producers are generally uncomfortable above 1.5x. Watch the trough year.</t>
  </si>
  <si>
    <t xml:space="preserve">Output Summary &amp; Guidance Checks</t>
  </si>
  <si>
    <t xml:space="preserve">The numbers you quote in a pitch, plus automatic tests that the model respects company guidance.</t>
  </si>
  <si>
    <t xml:space="preserve">KEY OUTPUTS</t>
  </si>
  <si>
    <t xml:space="preserve">Production (Boe/d)</t>
  </si>
  <si>
    <t xml:space="preserve">Liquids %</t>
  </si>
  <si>
    <t xml:space="preserve">Revenue (C$mm)</t>
  </si>
  <si>
    <t xml:space="preserve">Netback (C$/Boe)</t>
  </si>
  <si>
    <t xml:space="preserve">Adjusted funds flow (C$mm)</t>
  </si>
  <si>
    <t xml:space="preserve">Free cash flow before dividends (C$mm)</t>
  </si>
  <si>
    <t xml:space="preserve">Closing net cash / (net debt) (C$mm)</t>
  </si>
  <si>
    <t xml:space="preserve">SANITY CHECKS AGAINST COMPANY GUIDANCE</t>
  </si>
  <si>
    <t xml:space="preserve">Test</t>
  </si>
  <si>
    <t xml:space="preserve">Model</t>
  </si>
  <si>
    <t xml:space="preserve">Guidance low</t>
  </si>
  <si>
    <t xml:space="preserve">Guidance high</t>
  </si>
  <si>
    <t xml:space="preserve">Result</t>
  </si>
  <si>
    <t xml:space="preserve">2026E production (Boe/d)</t>
  </si>
  <si>
    <t xml:space="preserve">2027E production (Boe/d)</t>
  </si>
  <si>
    <t xml:space="preserve">2026E capital expenditures (C$mm)</t>
  </si>
  <si>
    <t xml:space="preserve">2027E capital expenditures (C$mm)</t>
  </si>
  <si>
    <t xml:space="preserve">Stream reconciliation (must be zero)</t>
  </si>
  <si>
    <t xml:space="preserve">WHAT THE MODEL SAYS — fill in after running all three scenarios</t>
  </si>
  <si>
    <t xml:space="preserve">1. Production roughly doubles by 2029 on the Sinclair build-out, but liquids weighting falls, so netback per Boe compresses.</t>
  </si>
  <si>
    <t xml:space="preserve">2. The outspend persists through 2027. Check the trough year on the net cash rollforward against C$750mm of undrawn facilities.</t>
  </si>
  <si>
    <t xml:space="preserve">3. Run the Bear case. If the trough net debt exceeds available liquidity, the equity story depends on capital markets access, not operations.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</si>
</sst>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"/>
    <numFmt numFmtId="166" formatCode="\$#,##0.00;&quot;($&quot;#,##0.00\);\-"/>
    <numFmt numFmtId="167" formatCode="0.000"/>
    <numFmt numFmtId="168" formatCode="0.0%"/>
    <numFmt numFmtId="169" formatCode="#,##0;\(#,##0\);\-"/>
    <numFmt numFmtId="170" formatCode="0%"/>
    <numFmt numFmtId="171" formatCode="\$#,##0;&quot;($&quot;#,##0\);\-"/>
    <numFmt numFmtId="172" formatCode="#,##0.0;\(#,##0.0\);\-"/>
    <numFmt numFmtId="173" formatCode="0.00\x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10"/>
      <color rgb="FFC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2F3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1F3864"/>
        <bgColor rgb="FF3333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40404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30" hidden="false" customHeight="true" outlineLevel="0" collapsed="false">
      <c r="A5" s="5" t="s">
        <v>3</v>
      </c>
      <c r="B5" s="6" t="s">
        <v>4</v>
      </c>
    </row>
    <row r="6" customFormat="false" ht="30" hidden="false" customHeight="true" outlineLevel="0" collapsed="false">
      <c r="A6" s="5" t="s">
        <v>5</v>
      </c>
      <c r="B6" s="6" t="s">
        <v>6</v>
      </c>
    </row>
    <row r="7" customFormat="false" ht="30" hidden="false" customHeight="true" outlineLevel="0" collapsed="false">
      <c r="A7" s="5" t="s">
        <v>7</v>
      </c>
      <c r="B7" s="6" t="s">
        <v>8</v>
      </c>
    </row>
    <row r="8" customFormat="false" ht="30" hidden="false" customHeight="true" outlineLevel="0" collapsed="false">
      <c r="A8" s="5" t="s">
        <v>9</v>
      </c>
      <c r="B8" s="6" t="s">
        <v>10</v>
      </c>
    </row>
    <row r="9" customFormat="false" ht="30" hidden="false" customHeight="true" outlineLevel="0" collapsed="false">
      <c r="A9" s="5" t="s">
        <v>11</v>
      </c>
      <c r="B9" s="6" t="s">
        <v>12</v>
      </c>
    </row>
    <row r="11" customFormat="false" ht="15" hidden="false" customHeight="false" outlineLevel="0" collapsed="false">
      <c r="A11" s="3" t="s">
        <v>13</v>
      </c>
      <c r="B11" s="4"/>
    </row>
    <row r="12" customFormat="false" ht="30" hidden="false" customHeight="true" outlineLevel="0" collapsed="false">
      <c r="A12" s="5" t="s">
        <v>14</v>
      </c>
      <c r="B12" s="6" t="s">
        <v>15</v>
      </c>
    </row>
    <row r="13" customFormat="false" ht="30" hidden="false" customHeight="true" outlineLevel="0" collapsed="false">
      <c r="A13" s="5" t="s">
        <v>16</v>
      </c>
      <c r="B13" s="6" t="s">
        <v>17</v>
      </c>
    </row>
    <row r="14" customFormat="false" ht="30" hidden="false" customHeight="true" outlineLevel="0" collapsed="false">
      <c r="A14" s="5" t="s">
        <v>18</v>
      </c>
      <c r="B14" s="6" t="s">
        <v>19</v>
      </c>
    </row>
    <row r="16" customFormat="false" ht="15" hidden="false" customHeight="false" outlineLevel="0" collapsed="false">
      <c r="A16" s="3" t="s">
        <v>20</v>
      </c>
      <c r="B16" s="4"/>
    </row>
    <row r="17" customFormat="false" ht="30" hidden="false" customHeight="true" outlineLevel="0" collapsed="false">
      <c r="A17" s="5" t="s">
        <v>21</v>
      </c>
      <c r="B17" s="6" t="s">
        <v>22</v>
      </c>
    </row>
    <row r="18" customFormat="false" ht="42" hidden="false" customHeight="true" outlineLevel="0" collapsed="false">
      <c r="A18" s="5" t="s">
        <v>23</v>
      </c>
      <c r="B18" s="6" t="s">
        <v>24</v>
      </c>
    </row>
    <row r="19" customFormat="false" ht="42" hidden="false" customHeight="true" outlineLevel="0" collapsed="false">
      <c r="A19" s="5" t="s">
        <v>25</v>
      </c>
      <c r="B19" s="6" t="s">
        <v>26</v>
      </c>
    </row>
    <row r="20" customFormat="false" ht="42" hidden="false" customHeight="true" outlineLevel="0" collapsed="false">
      <c r="A20" s="5" t="s">
        <v>27</v>
      </c>
      <c r="B20" s="6" t="s">
        <v>28</v>
      </c>
    </row>
    <row r="22" customFormat="false" ht="15" hidden="false" customHeight="false" outlineLevel="0" collapsed="false">
      <c r="A22" s="2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2"/>
    <col collapsed="false" customWidth="true" hidden="false" outlineLevel="0" max="7" min="7" style="0" width="3"/>
    <col collapsed="false" customWidth="true" hidden="false" outlineLevel="0" max="8" min="8" style="0" width="52"/>
  </cols>
  <sheetData>
    <row r="1" customFormat="false" ht="17.35" hidden="false" customHeight="false" outlineLevel="0" collapsed="false">
      <c r="A1" s="1" t="s">
        <v>30</v>
      </c>
    </row>
    <row r="2" customFormat="false" ht="15" hidden="false" customHeight="false" outlineLevel="0" collapsed="false">
      <c r="A2" s="2" t="s">
        <v>31</v>
      </c>
    </row>
    <row r="4" customFormat="false" ht="15" hidden="false" customHeight="false" outlineLevel="0" collapsed="false">
      <c r="A4" s="5" t="s">
        <v>32</v>
      </c>
      <c r="B4" s="7" t="n">
        <v>2</v>
      </c>
      <c r="H4" s="2" t="s">
        <v>33</v>
      </c>
    </row>
    <row r="6" customFormat="false" ht="15" hidden="false" customHeight="false" outlineLevel="0" collapsed="false">
      <c r="A6" s="3" t="s">
        <v>34</v>
      </c>
      <c r="B6" s="4"/>
      <c r="C6" s="4"/>
      <c r="D6" s="4"/>
      <c r="E6" s="4"/>
      <c r="F6" s="4"/>
    </row>
    <row r="7" customFormat="false" ht="15" hidden="false" customHeight="false" outlineLevel="0" collapsed="false">
      <c r="A7" s="8"/>
      <c r="B7" s="9" t="s">
        <v>35</v>
      </c>
      <c r="C7" s="9" t="s">
        <v>36</v>
      </c>
      <c r="D7" s="9" t="s">
        <v>37</v>
      </c>
      <c r="E7" s="9" t="s">
        <v>38</v>
      </c>
      <c r="F7" s="9" t="s">
        <v>39</v>
      </c>
      <c r="G7" s="10"/>
      <c r="H7" s="8" t="s">
        <v>40</v>
      </c>
    </row>
    <row r="8" customFormat="false" ht="15" hidden="false" customHeight="false" outlineLevel="0" collapsed="false">
      <c r="A8" s="11" t="s">
        <v>41</v>
      </c>
      <c r="B8" s="12" t="n">
        <v>76</v>
      </c>
      <c r="C8" s="12" t="n">
        <v>62</v>
      </c>
      <c r="D8" s="12" t="n">
        <v>58</v>
      </c>
      <c r="E8" s="12" t="n">
        <v>58</v>
      </c>
      <c r="F8" s="12" t="n">
        <v>58</v>
      </c>
    </row>
    <row r="9" customFormat="false" ht="15" hidden="false" customHeight="false" outlineLevel="0" collapsed="false">
      <c r="A9" s="11" t="s">
        <v>42</v>
      </c>
      <c r="B9" s="12" t="n">
        <v>1.9</v>
      </c>
      <c r="C9" s="12" t="n">
        <v>1.8</v>
      </c>
      <c r="D9" s="12" t="n">
        <v>1.9</v>
      </c>
      <c r="E9" s="12" t="n">
        <v>2</v>
      </c>
      <c r="F9" s="12" t="n">
        <v>2.1</v>
      </c>
    </row>
    <row r="10" customFormat="false" ht="15" hidden="false" customHeight="false" outlineLevel="0" collapsed="false">
      <c r="A10" s="11" t="s">
        <v>43</v>
      </c>
      <c r="B10" s="12" t="n">
        <v>0.7</v>
      </c>
      <c r="C10" s="12" t="n">
        <v>0.7</v>
      </c>
      <c r="D10" s="12" t="n">
        <v>0.7</v>
      </c>
      <c r="E10" s="12" t="n">
        <v>0.7</v>
      </c>
      <c r="F10" s="12" t="n">
        <v>0.7</v>
      </c>
    </row>
    <row r="11" customFormat="false" ht="15" hidden="false" customHeight="false" outlineLevel="0" collapsed="false">
      <c r="A11" s="11" t="s">
        <v>44</v>
      </c>
      <c r="B11" s="13" t="n">
        <v>1.38</v>
      </c>
      <c r="C11" s="13" t="n">
        <v>1.4</v>
      </c>
      <c r="D11" s="13" t="n">
        <v>1.42</v>
      </c>
      <c r="E11" s="13" t="n">
        <v>1.42</v>
      </c>
      <c r="F11" s="13" t="n">
        <v>1.42</v>
      </c>
    </row>
    <row r="12" customFormat="false" ht="15" hidden="false" customHeight="false" outlineLevel="0" collapsed="false">
      <c r="A12" s="11" t="s">
        <v>45</v>
      </c>
      <c r="B12" s="12" t="n">
        <v>-2</v>
      </c>
      <c r="C12" s="12" t="n">
        <v>-2</v>
      </c>
      <c r="D12" s="12" t="n">
        <v>-2</v>
      </c>
      <c r="E12" s="12" t="n">
        <v>-2</v>
      </c>
      <c r="F12" s="12" t="n">
        <v>-2</v>
      </c>
    </row>
    <row r="14" customFormat="false" ht="15" hidden="false" customHeight="false" outlineLevel="0" collapsed="false">
      <c r="A14" s="3" t="s">
        <v>46</v>
      </c>
      <c r="B14" s="4"/>
      <c r="C14" s="4"/>
      <c r="D14" s="4"/>
      <c r="E14" s="4"/>
      <c r="F14" s="4"/>
    </row>
    <row r="15" customFormat="false" ht="15" hidden="false" customHeight="false" outlineLevel="0" collapsed="false">
      <c r="A15" s="8"/>
      <c r="B15" s="9" t="s">
        <v>35</v>
      </c>
      <c r="C15" s="9" t="s">
        <v>36</v>
      </c>
      <c r="D15" s="9" t="s">
        <v>37</v>
      </c>
      <c r="E15" s="9" t="s">
        <v>38</v>
      </c>
      <c r="F15" s="9" t="s">
        <v>39</v>
      </c>
      <c r="G15" s="10"/>
      <c r="H15" s="8" t="s">
        <v>40</v>
      </c>
    </row>
    <row r="16" customFormat="false" ht="15" hidden="false" customHeight="false" outlineLevel="0" collapsed="false">
      <c r="A16" s="11" t="s">
        <v>41</v>
      </c>
      <c r="B16" s="12" t="n">
        <v>80</v>
      </c>
      <c r="C16" s="12" t="n">
        <v>75</v>
      </c>
      <c r="D16" s="12" t="n">
        <v>72</v>
      </c>
      <c r="E16" s="12" t="n">
        <v>70</v>
      </c>
      <c r="F16" s="12" t="n">
        <v>70</v>
      </c>
    </row>
    <row r="17" customFormat="false" ht="15" hidden="false" customHeight="false" outlineLevel="0" collapsed="false">
      <c r="A17" s="11" t="s">
        <v>42</v>
      </c>
      <c r="B17" s="12" t="n">
        <v>2.4</v>
      </c>
      <c r="C17" s="12" t="n">
        <v>2.9</v>
      </c>
      <c r="D17" s="12" t="n">
        <v>3.2</v>
      </c>
      <c r="E17" s="12" t="n">
        <v>3.3</v>
      </c>
      <c r="F17" s="12" t="n">
        <v>3.4</v>
      </c>
    </row>
    <row r="18" customFormat="false" ht="15" hidden="false" customHeight="false" outlineLevel="0" collapsed="false">
      <c r="A18" s="11" t="s">
        <v>43</v>
      </c>
      <c r="B18" s="12" t="n">
        <v>0.9</v>
      </c>
      <c r="C18" s="12" t="n">
        <v>0.9</v>
      </c>
      <c r="D18" s="12" t="n">
        <v>0.9</v>
      </c>
      <c r="E18" s="12" t="n">
        <v>0.9</v>
      </c>
      <c r="F18" s="12" t="n">
        <v>0.9</v>
      </c>
    </row>
    <row r="19" customFormat="false" ht="15" hidden="false" customHeight="false" outlineLevel="0" collapsed="false">
      <c r="A19" s="11" t="s">
        <v>44</v>
      </c>
      <c r="B19" s="13" t="n">
        <v>1.37</v>
      </c>
      <c r="C19" s="13" t="n">
        <v>1.36</v>
      </c>
      <c r="D19" s="13" t="n">
        <v>1.35</v>
      </c>
      <c r="E19" s="13" t="n">
        <v>1.35</v>
      </c>
      <c r="F19" s="13" t="n">
        <v>1.35</v>
      </c>
    </row>
    <row r="20" customFormat="false" ht="15" hidden="false" customHeight="false" outlineLevel="0" collapsed="false">
      <c r="A20" s="11" t="s">
        <v>45</v>
      </c>
      <c r="B20" s="12" t="n">
        <v>0</v>
      </c>
      <c r="C20" s="12" t="n">
        <v>0</v>
      </c>
      <c r="D20" s="12" t="n">
        <v>0</v>
      </c>
      <c r="E20" s="12" t="n">
        <v>0</v>
      </c>
      <c r="F20" s="12" t="n">
        <v>0</v>
      </c>
    </row>
    <row r="22" customFormat="false" ht="15" hidden="false" customHeight="false" outlineLevel="0" collapsed="false">
      <c r="A22" s="3" t="s">
        <v>47</v>
      </c>
      <c r="B22" s="4"/>
      <c r="C22" s="4"/>
      <c r="D22" s="4"/>
      <c r="E22" s="4"/>
      <c r="F22" s="4"/>
    </row>
    <row r="23" customFormat="false" ht="15" hidden="false" customHeight="false" outlineLevel="0" collapsed="false">
      <c r="A23" s="8"/>
      <c r="B23" s="9" t="s">
        <v>35</v>
      </c>
      <c r="C23" s="9" t="s">
        <v>36</v>
      </c>
      <c r="D23" s="9" t="s">
        <v>37</v>
      </c>
      <c r="E23" s="9" t="s">
        <v>38</v>
      </c>
      <c r="F23" s="9" t="s">
        <v>39</v>
      </c>
      <c r="G23" s="10"/>
      <c r="H23" s="8" t="s">
        <v>40</v>
      </c>
    </row>
    <row r="24" customFormat="false" ht="15" hidden="false" customHeight="false" outlineLevel="0" collapsed="false">
      <c r="A24" s="11" t="s">
        <v>41</v>
      </c>
      <c r="B24" s="12" t="n">
        <v>84</v>
      </c>
      <c r="C24" s="12" t="n">
        <v>95</v>
      </c>
      <c r="D24" s="12" t="n">
        <v>92</v>
      </c>
      <c r="E24" s="12" t="n">
        <v>90</v>
      </c>
      <c r="F24" s="12" t="n">
        <v>88</v>
      </c>
    </row>
    <row r="25" customFormat="false" ht="15" hidden="false" customHeight="false" outlineLevel="0" collapsed="false">
      <c r="A25" s="11" t="s">
        <v>42</v>
      </c>
      <c r="B25" s="12" t="n">
        <v>3</v>
      </c>
      <c r="C25" s="12" t="n">
        <v>4</v>
      </c>
      <c r="D25" s="12" t="n">
        <v>4.5</v>
      </c>
      <c r="E25" s="12" t="n">
        <v>4.75</v>
      </c>
      <c r="F25" s="12" t="n">
        <v>5</v>
      </c>
    </row>
    <row r="26" customFormat="false" ht="15" hidden="false" customHeight="false" outlineLevel="0" collapsed="false">
      <c r="A26" s="11" t="s">
        <v>43</v>
      </c>
      <c r="B26" s="12" t="n">
        <v>1.1</v>
      </c>
      <c r="C26" s="12" t="n">
        <v>1.2</v>
      </c>
      <c r="D26" s="12" t="n">
        <v>1.2</v>
      </c>
      <c r="E26" s="12" t="n">
        <v>1.2</v>
      </c>
      <c r="F26" s="12" t="n">
        <v>1.2</v>
      </c>
    </row>
    <row r="27" customFormat="false" ht="15" hidden="false" customHeight="false" outlineLevel="0" collapsed="false">
      <c r="A27" s="11" t="s">
        <v>44</v>
      </c>
      <c r="B27" s="13" t="n">
        <v>1.35</v>
      </c>
      <c r="C27" s="13" t="n">
        <v>1.33</v>
      </c>
      <c r="D27" s="13" t="n">
        <v>1.32</v>
      </c>
      <c r="E27" s="13" t="n">
        <v>1.32</v>
      </c>
      <c r="F27" s="13" t="n">
        <v>1.32</v>
      </c>
    </row>
    <row r="28" customFormat="false" ht="15" hidden="false" customHeight="false" outlineLevel="0" collapsed="false">
      <c r="A28" s="11" t="s">
        <v>45</v>
      </c>
      <c r="B28" s="12" t="n">
        <v>2</v>
      </c>
      <c r="C28" s="12" t="n">
        <v>2</v>
      </c>
      <c r="D28" s="12" t="n">
        <v>2</v>
      </c>
      <c r="E28" s="12" t="n">
        <v>2</v>
      </c>
      <c r="F28" s="12" t="n">
        <v>2</v>
      </c>
    </row>
    <row r="30" customFormat="false" ht="15" hidden="false" customHeight="false" outlineLevel="0" collapsed="false">
      <c r="A30" s="3" t="s">
        <v>48</v>
      </c>
      <c r="B30" s="4"/>
      <c r="C30" s="4"/>
      <c r="D30" s="4"/>
      <c r="E30" s="4"/>
      <c r="F30" s="4"/>
    </row>
    <row r="31" customFormat="false" ht="15" hidden="false" customHeight="false" outlineLevel="0" collapsed="false">
      <c r="A31" s="8"/>
      <c r="B31" s="9" t="s">
        <v>35</v>
      </c>
      <c r="C31" s="9" t="s">
        <v>36</v>
      </c>
      <c r="D31" s="9" t="s">
        <v>37</v>
      </c>
      <c r="E31" s="9" t="s">
        <v>38</v>
      </c>
      <c r="F31" s="9" t="s">
        <v>39</v>
      </c>
      <c r="G31" s="10"/>
      <c r="H31" s="8" t="s">
        <v>40</v>
      </c>
    </row>
    <row r="32" customFormat="false" ht="15" hidden="false" customHeight="false" outlineLevel="0" collapsed="false">
      <c r="A32" s="14" t="s">
        <v>41</v>
      </c>
      <c r="B32" s="15" t="n">
        <f aca="false">IF($B$4=1,B8,IF($B$4=3,B24,B16))</f>
        <v>80</v>
      </c>
      <c r="C32" s="15" t="n">
        <f aca="false">IF($B$4=1,C8,IF($B$4=3,C24,C16))</f>
        <v>75</v>
      </c>
      <c r="D32" s="15" t="n">
        <f aca="false">IF($B$4=1,D8,IF($B$4=3,D24,D16))</f>
        <v>72</v>
      </c>
      <c r="E32" s="15" t="n">
        <f aca="false">IF($B$4=1,E8,IF($B$4=3,E24,E16))</f>
        <v>70</v>
      </c>
      <c r="F32" s="15" t="n">
        <f aca="false">IF($B$4=1,F8,IF($B$4=3,F24,F16))</f>
        <v>70</v>
      </c>
    </row>
    <row r="33" customFormat="false" ht="15" hidden="false" customHeight="false" outlineLevel="0" collapsed="false">
      <c r="A33" s="14" t="s">
        <v>42</v>
      </c>
      <c r="B33" s="15" t="n">
        <f aca="false">IF($B$4=1,B9,IF($B$4=3,B25,B17))</f>
        <v>2.4</v>
      </c>
      <c r="C33" s="15" t="n">
        <f aca="false">IF($B$4=1,C9,IF($B$4=3,C25,C17))</f>
        <v>2.9</v>
      </c>
      <c r="D33" s="15" t="n">
        <f aca="false">IF($B$4=1,D9,IF($B$4=3,D25,D17))</f>
        <v>3.2</v>
      </c>
      <c r="E33" s="15" t="n">
        <f aca="false">IF($B$4=1,E9,IF($B$4=3,E25,E17))</f>
        <v>3.3</v>
      </c>
      <c r="F33" s="15" t="n">
        <f aca="false">IF($B$4=1,F9,IF($B$4=3,F25,F17))</f>
        <v>3.4</v>
      </c>
    </row>
    <row r="34" customFormat="false" ht="15" hidden="false" customHeight="false" outlineLevel="0" collapsed="false">
      <c r="A34" s="14" t="s">
        <v>43</v>
      </c>
      <c r="B34" s="15" t="n">
        <f aca="false">IF($B$4=1,B10,IF($B$4=3,B26,B18))</f>
        <v>0.9</v>
      </c>
      <c r="C34" s="15" t="n">
        <f aca="false">IF($B$4=1,C10,IF($B$4=3,C26,C18))</f>
        <v>0.9</v>
      </c>
      <c r="D34" s="15" t="n">
        <f aca="false">IF($B$4=1,D10,IF($B$4=3,D26,D18))</f>
        <v>0.9</v>
      </c>
      <c r="E34" s="15" t="n">
        <f aca="false">IF($B$4=1,E10,IF($B$4=3,E26,E18))</f>
        <v>0.9</v>
      </c>
      <c r="F34" s="15" t="n">
        <f aca="false">IF($B$4=1,F10,IF($B$4=3,F26,F18))</f>
        <v>0.9</v>
      </c>
    </row>
    <row r="35" customFormat="false" ht="15" hidden="false" customHeight="false" outlineLevel="0" collapsed="false">
      <c r="A35" s="14" t="s">
        <v>44</v>
      </c>
      <c r="B35" s="16" t="n">
        <f aca="false">IF($B$4=1,B11,IF($B$4=3,B27,B19))</f>
        <v>1.37</v>
      </c>
      <c r="C35" s="16" t="n">
        <f aca="false">IF($B$4=1,C11,IF($B$4=3,C27,C19))</f>
        <v>1.36</v>
      </c>
      <c r="D35" s="16" t="n">
        <f aca="false">IF($B$4=1,D11,IF($B$4=3,D27,D19))</f>
        <v>1.35</v>
      </c>
      <c r="E35" s="16" t="n">
        <f aca="false">IF($B$4=1,E11,IF($B$4=3,E27,E19))</f>
        <v>1.35</v>
      </c>
      <c r="F35" s="16" t="n">
        <f aca="false">IF($B$4=1,F11,IF($B$4=3,F27,F19))</f>
        <v>1.35</v>
      </c>
    </row>
    <row r="36" customFormat="false" ht="15" hidden="false" customHeight="false" outlineLevel="0" collapsed="false">
      <c r="A36" s="14" t="s">
        <v>45</v>
      </c>
      <c r="B36" s="15" t="n">
        <f aca="false">IF($B$4=1,B12,IF($B$4=3,B28,B20))</f>
        <v>0</v>
      </c>
      <c r="C36" s="15" t="n">
        <f aca="false">IF($B$4=1,C12,IF($B$4=3,C28,C20))</f>
        <v>0</v>
      </c>
      <c r="D36" s="15" t="n">
        <f aca="false">IF($B$4=1,D12,IF($B$4=3,D28,D20))</f>
        <v>0</v>
      </c>
      <c r="E36" s="15" t="n">
        <f aca="false">IF($B$4=1,E12,IF($B$4=3,E28,E20))</f>
        <v>0</v>
      </c>
      <c r="F36" s="15" t="n">
        <f aca="false">IF($B$4=1,F12,IF($B$4=3,F28,F20))</f>
        <v>0</v>
      </c>
    </row>
    <row r="38" customFormat="false" ht="15" hidden="false" customHeight="false" outlineLevel="0" collapsed="false">
      <c r="A38" s="3" t="s">
        <v>49</v>
      </c>
      <c r="B38" s="4"/>
      <c r="C38" s="4"/>
      <c r="D38" s="4"/>
      <c r="E38" s="4"/>
      <c r="F38" s="4"/>
    </row>
    <row r="39" customFormat="false" ht="15" hidden="false" customHeight="false" outlineLevel="0" collapsed="false">
      <c r="A39" s="8"/>
      <c r="B39" s="9" t="s">
        <v>35</v>
      </c>
      <c r="C39" s="9" t="s">
        <v>36</v>
      </c>
      <c r="D39" s="9" t="s">
        <v>37</v>
      </c>
      <c r="E39" s="9" t="s">
        <v>38</v>
      </c>
      <c r="F39" s="9" t="s">
        <v>39</v>
      </c>
      <c r="G39" s="10"/>
      <c r="H39" s="8" t="s">
        <v>40</v>
      </c>
    </row>
    <row r="40" customFormat="false" ht="27.75" hidden="false" customHeight="true" outlineLevel="0" collapsed="false">
      <c r="A40" s="11" t="s">
        <v>50</v>
      </c>
      <c r="B40" s="17" t="n">
        <f aca="false">(B33+B34)*1.055</f>
        <v>3.4815</v>
      </c>
      <c r="C40" s="17" t="n">
        <f aca="false">(C33+C34)*1.055</f>
        <v>4.009</v>
      </c>
      <c r="D40" s="17" t="n">
        <f aca="false">(D33+D34)*1.055</f>
        <v>4.3255</v>
      </c>
      <c r="E40" s="17" t="n">
        <f aca="false">(E33+E34)*1.055</f>
        <v>4.431</v>
      </c>
      <c r="F40" s="17" t="n">
        <f aca="false">(F33+F34)*1.055</f>
        <v>4.5365</v>
      </c>
      <c r="H40" s="18" t="s">
        <v>51</v>
      </c>
    </row>
    <row r="41" customFormat="false" ht="27.75" hidden="false" customHeight="true" outlineLevel="0" collapsed="false">
      <c r="A41" s="11" t="s">
        <v>52</v>
      </c>
      <c r="B41" s="17" t="n">
        <f aca="false">B32*B35+B36</f>
        <v>109.6</v>
      </c>
      <c r="C41" s="17" t="n">
        <f aca="false">C32*C35+C36</f>
        <v>102</v>
      </c>
      <c r="D41" s="17" t="n">
        <f aca="false">D32*D35+D36</f>
        <v>97.2</v>
      </c>
      <c r="E41" s="17" t="n">
        <f aca="false">E32*E35+E36</f>
        <v>94.5</v>
      </c>
      <c r="F41" s="17" t="n">
        <f aca="false">F32*F35+F36</f>
        <v>94.5</v>
      </c>
      <c r="H41" s="18" t="s">
        <v>53</v>
      </c>
    </row>
    <row r="42" customFormat="false" ht="15" hidden="false" customHeight="false" outlineLevel="0" collapsed="false">
      <c r="A42" s="11" t="s">
        <v>54</v>
      </c>
      <c r="B42" s="17" t="n">
        <f aca="false">B41*B43</f>
        <v>35.072</v>
      </c>
      <c r="C42" s="17" t="n">
        <f aca="false">C41*C43</f>
        <v>32.64</v>
      </c>
      <c r="D42" s="17" t="n">
        <f aca="false">D41*D43</f>
        <v>31.104</v>
      </c>
      <c r="E42" s="17" t="n">
        <f aca="false">E41*E43</f>
        <v>30.24</v>
      </c>
      <c r="F42" s="17" t="n">
        <f aca="false">F41*F43</f>
        <v>30.24</v>
      </c>
    </row>
    <row r="43" customFormat="false" ht="15" hidden="false" customHeight="false" outlineLevel="0" collapsed="false">
      <c r="A43" s="11" t="s">
        <v>55</v>
      </c>
      <c r="B43" s="19" t="n">
        <v>0.32</v>
      </c>
      <c r="C43" s="19" t="n">
        <v>0.32</v>
      </c>
      <c r="D43" s="19" t="n">
        <v>0.32</v>
      </c>
      <c r="E43" s="19" t="n">
        <v>0.32</v>
      </c>
      <c r="F43" s="19" t="n">
        <v>0.32</v>
      </c>
      <c r="H43" s="18" t="s">
        <v>56</v>
      </c>
    </row>
    <row r="45" customFormat="false" ht="15" hidden="false" customHeight="false" outlineLevel="0" collapsed="false">
      <c r="A45" s="3" t="s">
        <v>57</v>
      </c>
      <c r="B45" s="4"/>
      <c r="C45" s="4"/>
      <c r="D45" s="4"/>
      <c r="E45" s="4"/>
      <c r="F45" s="4"/>
    </row>
    <row r="46" customFormat="false" ht="15" hidden="false" customHeight="false" outlineLevel="0" collapsed="false">
      <c r="A46" s="8"/>
      <c r="B46" s="9" t="s">
        <v>35</v>
      </c>
      <c r="C46" s="9" t="s">
        <v>36</v>
      </c>
      <c r="D46" s="9" t="s">
        <v>37</v>
      </c>
      <c r="E46" s="9" t="s">
        <v>38</v>
      </c>
      <c r="F46" s="9" t="s">
        <v>39</v>
      </c>
      <c r="G46" s="10"/>
      <c r="H46" s="8" t="s">
        <v>40</v>
      </c>
    </row>
    <row r="47" customFormat="false" ht="27.75" hidden="false" customHeight="true" outlineLevel="0" collapsed="false">
      <c r="A47" s="11" t="s">
        <v>58</v>
      </c>
      <c r="B47" s="20" t="n">
        <v>32300</v>
      </c>
      <c r="C47" s="20" t="n">
        <v>41000</v>
      </c>
      <c r="D47" s="20" t="n">
        <v>47000</v>
      </c>
      <c r="E47" s="20" t="n">
        <v>50000</v>
      </c>
      <c r="F47" s="20" t="n">
        <v>50000</v>
      </c>
      <c r="H47" s="18" t="s">
        <v>59</v>
      </c>
    </row>
    <row r="48" customFormat="false" ht="27.75" hidden="false" customHeight="true" outlineLevel="0" collapsed="false">
      <c r="A48" s="11" t="s">
        <v>60</v>
      </c>
      <c r="B48" s="20" t="n">
        <v>19300</v>
      </c>
      <c r="C48" s="20" t="n">
        <v>19000</v>
      </c>
      <c r="D48" s="20" t="n">
        <v>19000</v>
      </c>
      <c r="E48" s="20" t="n">
        <v>17000</v>
      </c>
      <c r="F48" s="20" t="n">
        <v>15500</v>
      </c>
      <c r="H48" s="18" t="s">
        <v>61</v>
      </c>
    </row>
    <row r="49" customFormat="false" ht="27.75" hidden="false" customHeight="true" outlineLevel="0" collapsed="false">
      <c r="A49" s="11" t="s">
        <v>62</v>
      </c>
      <c r="B49" s="20" t="n">
        <v>0</v>
      </c>
      <c r="C49" s="20" t="n">
        <v>3000</v>
      </c>
      <c r="D49" s="20" t="n">
        <v>45000</v>
      </c>
      <c r="E49" s="20" t="n">
        <v>55000</v>
      </c>
      <c r="F49" s="20" t="n">
        <v>58000</v>
      </c>
      <c r="H49" s="18" t="s">
        <v>63</v>
      </c>
    </row>
    <row r="50" customFormat="false" ht="15" hidden="false" customHeight="false" outlineLevel="0" collapsed="false">
      <c r="A50" s="11" t="s">
        <v>64</v>
      </c>
      <c r="B50" s="20" t="n">
        <v>400</v>
      </c>
      <c r="C50" s="20" t="n">
        <v>400</v>
      </c>
      <c r="D50" s="20" t="n">
        <v>350</v>
      </c>
      <c r="E50" s="20" t="n">
        <v>300</v>
      </c>
      <c r="F50" s="20" t="n">
        <v>300</v>
      </c>
    </row>
    <row r="51" customFormat="false" ht="15" hidden="false" customHeight="false" outlineLevel="0" collapsed="false">
      <c r="A51" s="5" t="s">
        <v>65</v>
      </c>
      <c r="B51" s="21" t="n">
        <f aca="false">SUM(B47:B50)</f>
        <v>52000</v>
      </c>
      <c r="C51" s="21" t="n">
        <f aca="false">SUM(C47:C50)</f>
        <v>63400</v>
      </c>
      <c r="D51" s="21" t="n">
        <f aca="false">SUM(D47:D50)</f>
        <v>111350</v>
      </c>
      <c r="E51" s="21" t="n">
        <f aca="false">SUM(E47:E50)</f>
        <v>122300</v>
      </c>
      <c r="F51" s="21" t="n">
        <f aca="false">SUM(F47:F50)</f>
        <v>123800</v>
      </c>
    </row>
    <row r="53" customFormat="false" ht="15" hidden="false" customHeight="false" outlineLevel="0" collapsed="false">
      <c r="A53" s="3" t="s">
        <v>66</v>
      </c>
      <c r="B53" s="4"/>
      <c r="C53" s="4"/>
      <c r="D53" s="4"/>
      <c r="E53" s="4"/>
      <c r="F53" s="4"/>
    </row>
    <row r="54" customFormat="false" ht="15" hidden="false" customHeight="false" outlineLevel="0" collapsed="false">
      <c r="A54" s="8"/>
      <c r="B54" s="9" t="s">
        <v>35</v>
      </c>
      <c r="C54" s="9" t="s">
        <v>36</v>
      </c>
      <c r="D54" s="9" t="s">
        <v>37</v>
      </c>
      <c r="E54" s="9" t="s">
        <v>38</v>
      </c>
      <c r="F54" s="9" t="s">
        <v>39</v>
      </c>
      <c r="G54" s="10"/>
      <c r="H54" s="8" t="s">
        <v>40</v>
      </c>
    </row>
    <row r="55" customFormat="false" ht="15" hidden="false" customHeight="false" outlineLevel="0" collapsed="false">
      <c r="A55" s="11" t="s">
        <v>67</v>
      </c>
      <c r="B55" s="22" t="n">
        <v>0.55</v>
      </c>
      <c r="C55" s="22" t="n">
        <v>0.55</v>
      </c>
      <c r="D55" s="22" t="n">
        <v>0.55</v>
      </c>
      <c r="E55" s="22" t="n">
        <v>0.55</v>
      </c>
      <c r="F55" s="22" t="n">
        <v>0.55</v>
      </c>
      <c r="H55" s="18" t="s">
        <v>68</v>
      </c>
    </row>
    <row r="56" customFormat="false" ht="15" hidden="false" customHeight="false" outlineLevel="0" collapsed="false">
      <c r="A56" s="11" t="s">
        <v>69</v>
      </c>
      <c r="B56" s="22" t="n">
        <v>0.8</v>
      </c>
      <c r="C56" s="22" t="n">
        <v>0.8</v>
      </c>
      <c r="D56" s="22" t="n">
        <v>0.8</v>
      </c>
      <c r="E56" s="22" t="n">
        <v>0.8</v>
      </c>
      <c r="F56" s="22" t="n">
        <v>0.8</v>
      </c>
    </row>
    <row r="57" customFormat="false" ht="15" hidden="false" customHeight="false" outlineLevel="0" collapsed="false">
      <c r="A57" s="11" t="s">
        <v>70</v>
      </c>
      <c r="B57" s="22" t="n">
        <v>0.4</v>
      </c>
      <c r="C57" s="22" t="n">
        <v>0.4</v>
      </c>
      <c r="D57" s="22" t="n">
        <v>0.4</v>
      </c>
      <c r="E57" s="22" t="n">
        <v>0.4</v>
      </c>
      <c r="F57" s="22" t="n">
        <v>0.4</v>
      </c>
    </row>
    <row r="58" customFormat="false" ht="15" hidden="false" customHeight="false" outlineLevel="0" collapsed="false">
      <c r="A58" s="11" t="s">
        <v>71</v>
      </c>
      <c r="B58" s="22" t="n">
        <v>0.7</v>
      </c>
      <c r="C58" s="22" t="n">
        <v>0.7</v>
      </c>
      <c r="D58" s="22" t="n">
        <v>0.7</v>
      </c>
      <c r="E58" s="22" t="n">
        <v>0.7</v>
      </c>
      <c r="F58" s="22" t="n">
        <v>0.7</v>
      </c>
    </row>
    <row r="59" customFormat="false" ht="23.85" hidden="false" customHeight="false" outlineLevel="0" collapsed="false">
      <c r="A59" s="11" t="s">
        <v>72</v>
      </c>
      <c r="B59" s="22" t="n">
        <v>0.1</v>
      </c>
      <c r="C59" s="22" t="n">
        <v>0.1</v>
      </c>
      <c r="D59" s="22" t="n">
        <v>0.1</v>
      </c>
      <c r="E59" s="22" t="n">
        <v>0.1</v>
      </c>
      <c r="F59" s="22" t="n">
        <v>0.1</v>
      </c>
      <c r="H59" s="18" t="s">
        <v>73</v>
      </c>
    </row>
    <row r="60" customFormat="false" ht="15" hidden="false" customHeight="false" outlineLevel="0" collapsed="false">
      <c r="A60" s="11" t="s">
        <v>74</v>
      </c>
      <c r="B60" s="22" t="n">
        <v>0.75</v>
      </c>
      <c r="C60" s="22" t="n">
        <v>0.75</v>
      </c>
      <c r="D60" s="22" t="n">
        <v>0.75</v>
      </c>
      <c r="E60" s="22" t="n">
        <v>0.75</v>
      </c>
      <c r="F60" s="22" t="n">
        <v>0.75</v>
      </c>
    </row>
    <row r="61" customFormat="false" ht="15" hidden="false" customHeight="false" outlineLevel="0" collapsed="false">
      <c r="A61" s="11" t="s">
        <v>75</v>
      </c>
      <c r="B61" s="22" t="n">
        <v>0.3</v>
      </c>
      <c r="C61" s="22" t="n">
        <v>0.3</v>
      </c>
      <c r="D61" s="22" t="n">
        <v>0.3</v>
      </c>
      <c r="E61" s="22" t="n">
        <v>0.3</v>
      </c>
      <c r="F61" s="22" t="n">
        <v>0.3</v>
      </c>
    </row>
    <row r="62" customFormat="false" ht="15" hidden="false" customHeight="false" outlineLevel="0" collapsed="false">
      <c r="A62" s="11" t="s">
        <v>76</v>
      </c>
      <c r="B62" s="22" t="n">
        <v>0.7</v>
      </c>
      <c r="C62" s="22" t="n">
        <v>0.7</v>
      </c>
      <c r="D62" s="22" t="n">
        <v>0.7</v>
      </c>
      <c r="E62" s="22" t="n">
        <v>0.7</v>
      </c>
      <c r="F62" s="22" t="n">
        <v>0.7</v>
      </c>
    </row>
    <row r="64" customFormat="false" ht="15" hidden="false" customHeight="false" outlineLevel="0" collapsed="false">
      <c r="A64" s="3" t="s">
        <v>77</v>
      </c>
      <c r="B64" s="4"/>
      <c r="C64" s="4"/>
      <c r="D64" s="4"/>
      <c r="E64" s="4"/>
      <c r="F64" s="4"/>
    </row>
    <row r="65" customFormat="false" ht="15" hidden="false" customHeight="false" outlineLevel="0" collapsed="false">
      <c r="A65" s="8"/>
      <c r="B65" s="9" t="s">
        <v>35</v>
      </c>
      <c r="C65" s="9" t="s">
        <v>36</v>
      </c>
      <c r="D65" s="9" t="s">
        <v>37</v>
      </c>
      <c r="E65" s="9" t="s">
        <v>38</v>
      </c>
      <c r="F65" s="9" t="s">
        <v>39</v>
      </c>
      <c r="G65" s="10"/>
      <c r="H65" s="8" t="s">
        <v>40</v>
      </c>
    </row>
    <row r="66" customFormat="false" ht="27.75" hidden="false" customHeight="true" outlineLevel="0" collapsed="false">
      <c r="A66" s="11" t="s">
        <v>78</v>
      </c>
      <c r="B66" s="19" t="n">
        <v>0.055</v>
      </c>
      <c r="C66" s="19" t="n">
        <v>0.06</v>
      </c>
      <c r="D66" s="19" t="n">
        <v>0.07</v>
      </c>
      <c r="E66" s="19" t="n">
        <v>0.08</v>
      </c>
      <c r="F66" s="19" t="n">
        <v>0.085</v>
      </c>
      <c r="H66" s="18" t="s">
        <v>79</v>
      </c>
    </row>
    <row r="67" customFormat="false" ht="27.75" hidden="false" customHeight="true" outlineLevel="0" collapsed="false">
      <c r="A67" s="11" t="s">
        <v>80</v>
      </c>
      <c r="B67" s="12" t="n">
        <v>8.5</v>
      </c>
      <c r="C67" s="12" t="n">
        <v>7.75</v>
      </c>
      <c r="D67" s="12" t="n">
        <v>6.75</v>
      </c>
      <c r="E67" s="12" t="n">
        <v>6.25</v>
      </c>
      <c r="F67" s="12" t="n">
        <v>6.1</v>
      </c>
      <c r="H67" s="18" t="s">
        <v>81</v>
      </c>
    </row>
    <row r="68" customFormat="false" ht="15" hidden="false" customHeight="false" outlineLevel="0" collapsed="false">
      <c r="A68" s="11" t="s">
        <v>82</v>
      </c>
      <c r="B68" s="12" t="n">
        <v>4.75</v>
      </c>
      <c r="C68" s="12" t="n">
        <v>4.6</v>
      </c>
      <c r="D68" s="12" t="n">
        <v>4.25</v>
      </c>
      <c r="E68" s="12" t="n">
        <v>4.1</v>
      </c>
      <c r="F68" s="12" t="n">
        <v>4.05</v>
      </c>
    </row>
    <row r="69" customFormat="false" ht="15" hidden="false" customHeight="false" outlineLevel="0" collapsed="false">
      <c r="A69" s="11" t="s">
        <v>83</v>
      </c>
      <c r="B69" s="12" t="n">
        <v>1.6</v>
      </c>
      <c r="C69" s="12" t="n">
        <v>1.4</v>
      </c>
      <c r="D69" s="12" t="n">
        <v>1</v>
      </c>
      <c r="E69" s="12" t="n">
        <v>0.9</v>
      </c>
      <c r="F69" s="12" t="n">
        <v>0.9</v>
      </c>
    </row>
    <row r="70" customFormat="false" ht="27.75" hidden="false" customHeight="true" outlineLevel="0" collapsed="false">
      <c r="A70" s="11" t="s">
        <v>84</v>
      </c>
      <c r="B70" s="12" t="n">
        <v>-1.5</v>
      </c>
      <c r="C70" s="12" t="n">
        <v>-0.75</v>
      </c>
      <c r="D70" s="12" t="n">
        <v>0</v>
      </c>
      <c r="E70" s="12" t="n">
        <v>0</v>
      </c>
      <c r="F70" s="12" t="n">
        <v>0</v>
      </c>
      <c r="H70" s="18" t="s">
        <v>85</v>
      </c>
    </row>
    <row r="71" customFormat="false" ht="27.75" hidden="false" customHeight="true" outlineLevel="0" collapsed="false">
      <c r="A71" s="11" t="s">
        <v>86</v>
      </c>
      <c r="B71" s="19" t="n">
        <v>0</v>
      </c>
      <c r="C71" s="19" t="n">
        <v>0</v>
      </c>
      <c r="D71" s="19" t="n">
        <v>0.05</v>
      </c>
      <c r="E71" s="19" t="n">
        <v>0.12</v>
      </c>
      <c r="F71" s="19" t="n">
        <v>0.18</v>
      </c>
      <c r="H71" s="18" t="s">
        <v>87</v>
      </c>
    </row>
    <row r="72" customFormat="false" ht="27.75" hidden="false" customHeight="true" outlineLevel="0" collapsed="false">
      <c r="A72" s="11" t="s">
        <v>88</v>
      </c>
      <c r="B72" s="23" t="n">
        <v>12</v>
      </c>
      <c r="C72" s="23" t="n">
        <v>4</v>
      </c>
      <c r="D72" s="23" t="n">
        <v>-8</v>
      </c>
      <c r="E72" s="23" t="n">
        <v>-6</v>
      </c>
      <c r="F72" s="23" t="n">
        <v>0</v>
      </c>
      <c r="H72" s="18" t="s">
        <v>89</v>
      </c>
    </row>
    <row r="74" customFormat="false" ht="15" hidden="false" customHeight="false" outlineLevel="0" collapsed="false">
      <c r="A74" s="3" t="s">
        <v>90</v>
      </c>
      <c r="B74" s="4"/>
      <c r="C74" s="4"/>
      <c r="D74" s="4"/>
      <c r="E74" s="4"/>
      <c r="F74" s="4"/>
    </row>
    <row r="75" customFormat="false" ht="15" hidden="false" customHeight="false" outlineLevel="0" collapsed="false">
      <c r="A75" s="8"/>
      <c r="B75" s="9" t="s">
        <v>35</v>
      </c>
      <c r="C75" s="9" t="s">
        <v>36</v>
      </c>
      <c r="D75" s="9" t="s">
        <v>37</v>
      </c>
      <c r="E75" s="9" t="s">
        <v>38</v>
      </c>
      <c r="F75" s="9" t="s">
        <v>39</v>
      </c>
      <c r="G75" s="10"/>
      <c r="H75" s="8" t="s">
        <v>40</v>
      </c>
    </row>
    <row r="76" customFormat="false" ht="27.75" hidden="false" customHeight="true" outlineLevel="0" collapsed="false">
      <c r="A76" s="11" t="s">
        <v>91</v>
      </c>
      <c r="B76" s="23" t="n">
        <v>1050</v>
      </c>
      <c r="C76" s="23" t="n">
        <v>1000</v>
      </c>
      <c r="D76" s="23" t="n">
        <v>800</v>
      </c>
      <c r="E76" s="23" t="n">
        <v>700</v>
      </c>
      <c r="F76" s="23" t="n">
        <v>700</v>
      </c>
      <c r="H76" s="18" t="s">
        <v>92</v>
      </c>
    </row>
    <row r="77" customFormat="false" ht="15" hidden="false" customHeight="false" outlineLevel="0" collapsed="false">
      <c r="A77" s="11" t="s">
        <v>93</v>
      </c>
      <c r="B77" s="23" t="n">
        <v>35</v>
      </c>
      <c r="C77" s="23" t="n">
        <v>35</v>
      </c>
      <c r="D77" s="23" t="n">
        <v>40</v>
      </c>
      <c r="E77" s="23" t="n">
        <v>40</v>
      </c>
      <c r="F77" s="23" t="n">
        <v>45</v>
      </c>
    </row>
    <row r="78" customFormat="false" ht="15" hidden="false" customHeight="false" outlineLevel="0" collapsed="false">
      <c r="A78" s="11" t="s">
        <v>94</v>
      </c>
      <c r="B78" s="12" t="n">
        <v>0.6</v>
      </c>
      <c r="C78" s="12" t="n">
        <v>0.6</v>
      </c>
      <c r="D78" s="12" t="n">
        <v>0.6</v>
      </c>
      <c r="E78" s="12" t="n">
        <v>0.6</v>
      </c>
      <c r="F78" s="12" t="n">
        <v>0.6</v>
      </c>
      <c r="H78" s="18" t="s">
        <v>95</v>
      </c>
    </row>
    <row r="79" customFormat="false" ht="15" hidden="false" customHeight="false" outlineLevel="0" collapsed="false">
      <c r="A79" s="11" t="s">
        <v>96</v>
      </c>
      <c r="B79" s="24" t="n">
        <v>145.8</v>
      </c>
      <c r="C79" s="24" t="n">
        <v>145.8</v>
      </c>
      <c r="D79" s="24" t="n">
        <v>145.8</v>
      </c>
      <c r="E79" s="24" t="n">
        <v>145.8</v>
      </c>
      <c r="F79" s="24" t="n">
        <v>145.8</v>
      </c>
    </row>
    <row r="80" customFormat="false" ht="27.75" hidden="false" customHeight="true" outlineLevel="0" collapsed="false">
      <c r="A80" s="11" t="s">
        <v>97</v>
      </c>
      <c r="B80" s="25" t="n">
        <v>672.8</v>
      </c>
      <c r="C80" s="25" t="n">
        <v>0</v>
      </c>
      <c r="D80" s="25" t="n">
        <v>0</v>
      </c>
      <c r="E80" s="25" t="n">
        <v>0</v>
      </c>
      <c r="F80" s="25" t="n">
        <v>0</v>
      </c>
      <c r="H80" s="18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2"/>
    <col collapsed="false" customWidth="true" hidden="false" outlineLevel="0" max="7" min="7" style="0" width="3"/>
    <col collapsed="false" customWidth="true" hidden="false" outlineLevel="0" max="8" min="8" style="0" width="52"/>
  </cols>
  <sheetData>
    <row r="1" customFormat="false" ht="17.35" hidden="false" customHeight="false" outlineLevel="0" collapsed="false">
      <c r="A1" s="1" t="s">
        <v>99</v>
      </c>
    </row>
    <row r="2" customFormat="false" ht="15" hidden="false" customHeight="false" outlineLevel="0" collapsed="false">
      <c r="A2" s="2" t="s">
        <v>100</v>
      </c>
    </row>
    <row r="4" customFormat="false" ht="15" hidden="false" customHeight="false" outlineLevel="0" collapsed="false">
      <c r="A4" s="3" t="s">
        <v>101</v>
      </c>
      <c r="B4" s="4"/>
      <c r="C4" s="4"/>
      <c r="D4" s="4"/>
      <c r="E4" s="4"/>
      <c r="F4" s="4"/>
    </row>
    <row r="5" customFormat="false" ht="15" hidden="false" customHeight="false" outlineLevel="0" collapsed="false">
      <c r="A5" s="8"/>
      <c r="B5" s="9" t="s">
        <v>35</v>
      </c>
      <c r="C5" s="9" t="s">
        <v>36</v>
      </c>
      <c r="D5" s="9" t="s">
        <v>37</v>
      </c>
      <c r="E5" s="9" t="s">
        <v>38</v>
      </c>
      <c r="F5" s="9" t="s">
        <v>39</v>
      </c>
      <c r="G5" s="10"/>
      <c r="H5" s="8" t="s">
        <v>40</v>
      </c>
    </row>
    <row r="6" customFormat="false" ht="15" hidden="false" customHeight="false" outlineLevel="0" collapsed="false">
      <c r="A6" s="14" t="s">
        <v>58</v>
      </c>
      <c r="B6" s="26" t="n">
        <f aca="false">Assumptions!B47</f>
        <v>32300</v>
      </c>
      <c r="C6" s="26" t="n">
        <f aca="false">Assumptions!C47</f>
        <v>41000</v>
      </c>
      <c r="D6" s="26" t="n">
        <f aca="false">Assumptions!D47</f>
        <v>47000</v>
      </c>
      <c r="E6" s="26" t="n">
        <f aca="false">Assumptions!E47</f>
        <v>50000</v>
      </c>
      <c r="F6" s="26" t="n">
        <f aca="false">Assumptions!F47</f>
        <v>50000</v>
      </c>
    </row>
    <row r="7" customFormat="false" ht="15" hidden="false" customHeight="false" outlineLevel="0" collapsed="false">
      <c r="A7" s="14" t="s">
        <v>60</v>
      </c>
      <c r="B7" s="26" t="n">
        <f aca="false">Assumptions!B48</f>
        <v>19300</v>
      </c>
      <c r="C7" s="26" t="n">
        <f aca="false">Assumptions!C48</f>
        <v>19000</v>
      </c>
      <c r="D7" s="26" t="n">
        <f aca="false">Assumptions!D48</f>
        <v>19000</v>
      </c>
      <c r="E7" s="26" t="n">
        <f aca="false">Assumptions!E48</f>
        <v>17000</v>
      </c>
      <c r="F7" s="26" t="n">
        <f aca="false">Assumptions!F48</f>
        <v>15500</v>
      </c>
    </row>
    <row r="8" customFormat="false" ht="15" hidden="false" customHeight="false" outlineLevel="0" collapsed="false">
      <c r="A8" s="14" t="s">
        <v>62</v>
      </c>
      <c r="B8" s="26" t="n">
        <f aca="false">Assumptions!B49</f>
        <v>0</v>
      </c>
      <c r="C8" s="26" t="n">
        <f aca="false">Assumptions!C49</f>
        <v>3000</v>
      </c>
      <c r="D8" s="26" t="n">
        <f aca="false">Assumptions!D49</f>
        <v>45000</v>
      </c>
      <c r="E8" s="26" t="n">
        <f aca="false">Assumptions!E49</f>
        <v>55000</v>
      </c>
      <c r="F8" s="26" t="n">
        <f aca="false">Assumptions!F49</f>
        <v>58000</v>
      </c>
    </row>
    <row r="9" customFormat="false" ht="15" hidden="false" customHeight="false" outlineLevel="0" collapsed="false">
      <c r="A9" s="14" t="s">
        <v>64</v>
      </c>
      <c r="B9" s="26" t="n">
        <f aca="false">Assumptions!B50</f>
        <v>400</v>
      </c>
      <c r="C9" s="26" t="n">
        <f aca="false">Assumptions!C50</f>
        <v>400</v>
      </c>
      <c r="D9" s="26" t="n">
        <f aca="false">Assumptions!D50</f>
        <v>350</v>
      </c>
      <c r="E9" s="26" t="n">
        <f aca="false">Assumptions!E50</f>
        <v>300</v>
      </c>
      <c r="F9" s="26" t="n">
        <f aca="false">Assumptions!F50</f>
        <v>300</v>
      </c>
    </row>
    <row r="10" customFormat="false" ht="15" hidden="false" customHeight="false" outlineLevel="0" collapsed="false">
      <c r="A10" s="5" t="s">
        <v>102</v>
      </c>
      <c r="B10" s="27" t="n">
        <f aca="false">SUM(B6:B9)</f>
        <v>52000</v>
      </c>
      <c r="C10" s="27" t="n">
        <f aca="false">SUM(C6:C9)</f>
        <v>63400</v>
      </c>
      <c r="D10" s="27" t="n">
        <f aca="false">SUM(D6:D9)</f>
        <v>111350</v>
      </c>
      <c r="E10" s="27" t="n">
        <f aca="false">SUM(E6:E9)</f>
        <v>122300</v>
      </c>
      <c r="F10" s="27" t="n">
        <f aca="false">SUM(F6:F9)</f>
        <v>123800</v>
      </c>
    </row>
    <row r="11" customFormat="false" ht="27.75" hidden="false" customHeight="true" outlineLevel="0" collapsed="false">
      <c r="A11" s="11" t="s">
        <v>103</v>
      </c>
      <c r="B11" s="28" t="n">
        <f aca="false">B10/52133-1</f>
        <v>-0.00255116720695148</v>
      </c>
      <c r="C11" s="28" t="n">
        <f aca="false">C10/B10-1</f>
        <v>0.219230769230769</v>
      </c>
      <c r="D11" s="28" t="n">
        <f aca="false">D10/C10-1</f>
        <v>0.756309148264984</v>
      </c>
      <c r="E11" s="28" t="n">
        <f aca="false">E10/D10-1</f>
        <v>0.0983385720700494</v>
      </c>
      <c r="F11" s="28" t="n">
        <f aca="false">F10/E10-1</f>
        <v>0.0122649223221587</v>
      </c>
      <c r="H11" s="18" t="s">
        <v>104</v>
      </c>
    </row>
    <row r="13" customFormat="false" ht="15" hidden="false" customHeight="false" outlineLevel="0" collapsed="false">
      <c r="A13" s="3" t="s">
        <v>105</v>
      </c>
      <c r="B13" s="4"/>
      <c r="C13" s="4"/>
      <c r="D13" s="4"/>
      <c r="E13" s="4"/>
      <c r="F13" s="4"/>
    </row>
    <row r="14" customFormat="false" ht="15" hidden="false" customHeight="false" outlineLevel="0" collapsed="false">
      <c r="A14" s="8"/>
      <c r="B14" s="9" t="s">
        <v>35</v>
      </c>
      <c r="C14" s="9" t="s">
        <v>36</v>
      </c>
      <c r="D14" s="9" t="s">
        <v>37</v>
      </c>
      <c r="E14" s="9" t="s">
        <v>38</v>
      </c>
      <c r="F14" s="9" t="s">
        <v>39</v>
      </c>
      <c r="G14" s="10"/>
      <c r="H14" s="8" t="s">
        <v>40</v>
      </c>
    </row>
    <row r="15" customFormat="false" ht="15" hidden="false" customHeight="false" outlineLevel="0" collapsed="false">
      <c r="A15" s="11" t="s">
        <v>106</v>
      </c>
      <c r="B15" s="26" t="n">
        <f aca="false">B6*Assumptions!B55</f>
        <v>17765</v>
      </c>
      <c r="C15" s="26" t="n">
        <f aca="false">C6*Assumptions!C55</f>
        <v>22550</v>
      </c>
      <c r="D15" s="26" t="n">
        <f aca="false">D6*Assumptions!D55</f>
        <v>25850</v>
      </c>
      <c r="E15" s="26" t="n">
        <f aca="false">E6*Assumptions!E55</f>
        <v>27500</v>
      </c>
      <c r="F15" s="26" t="n">
        <f aca="false">F6*Assumptions!F55</f>
        <v>27500</v>
      </c>
    </row>
    <row r="16" customFormat="false" ht="15" hidden="false" customHeight="false" outlineLevel="0" collapsed="false">
      <c r="A16" s="11" t="s">
        <v>107</v>
      </c>
      <c r="B16" s="26" t="n">
        <f aca="false">B7*Assumptions!B57</f>
        <v>7720</v>
      </c>
      <c r="C16" s="26" t="n">
        <f aca="false">C7*Assumptions!C57</f>
        <v>7600</v>
      </c>
      <c r="D16" s="26" t="n">
        <f aca="false">D7*Assumptions!D57</f>
        <v>7600</v>
      </c>
      <c r="E16" s="26" t="n">
        <f aca="false">E7*Assumptions!E57</f>
        <v>6800</v>
      </c>
      <c r="F16" s="26" t="n">
        <f aca="false">F7*Assumptions!F57</f>
        <v>6200</v>
      </c>
    </row>
    <row r="17" customFormat="false" ht="15" hidden="false" customHeight="false" outlineLevel="0" collapsed="false">
      <c r="A17" s="11" t="s">
        <v>108</v>
      </c>
      <c r="B17" s="26" t="n">
        <f aca="false">B8*Assumptions!B59</f>
        <v>0</v>
      </c>
      <c r="C17" s="26" t="n">
        <f aca="false">C8*Assumptions!C59</f>
        <v>300</v>
      </c>
      <c r="D17" s="26" t="n">
        <f aca="false">D8*Assumptions!D59</f>
        <v>4500</v>
      </c>
      <c r="E17" s="26" t="n">
        <f aca="false">E8*Assumptions!E59</f>
        <v>5500</v>
      </c>
      <c r="F17" s="26" t="n">
        <f aca="false">F8*Assumptions!F59</f>
        <v>5800</v>
      </c>
    </row>
    <row r="18" customFormat="false" ht="15" hidden="false" customHeight="false" outlineLevel="0" collapsed="false">
      <c r="A18" s="11" t="s">
        <v>109</v>
      </c>
      <c r="B18" s="26" t="n">
        <f aca="false">B9*Assumptions!B61</f>
        <v>120</v>
      </c>
      <c r="C18" s="26" t="n">
        <f aca="false">C9*Assumptions!C61</f>
        <v>120</v>
      </c>
      <c r="D18" s="26" t="n">
        <f aca="false">D9*Assumptions!D61</f>
        <v>105</v>
      </c>
      <c r="E18" s="26" t="n">
        <f aca="false">E9*Assumptions!E61</f>
        <v>90</v>
      </c>
      <c r="F18" s="26" t="n">
        <f aca="false">F9*Assumptions!F61</f>
        <v>90</v>
      </c>
    </row>
    <row r="19" customFormat="false" ht="15" hidden="false" customHeight="false" outlineLevel="0" collapsed="false">
      <c r="A19" s="5" t="s">
        <v>110</v>
      </c>
      <c r="B19" s="27" t="n">
        <f aca="false">SUM(B15:B18)</f>
        <v>25605</v>
      </c>
      <c r="C19" s="27" t="n">
        <f aca="false">SUM(C15:C18)</f>
        <v>30570</v>
      </c>
      <c r="D19" s="27" t="n">
        <f aca="false">SUM(D15:D18)</f>
        <v>38055</v>
      </c>
      <c r="E19" s="27" t="n">
        <f aca="false">SUM(E15:E18)</f>
        <v>39890</v>
      </c>
      <c r="F19" s="27" t="n">
        <f aca="false">SUM(F15:F18)</f>
        <v>39590</v>
      </c>
    </row>
    <row r="20" customFormat="false" ht="15" hidden="false" customHeight="false" outlineLevel="0" collapsed="false">
      <c r="A20" s="5" t="s">
        <v>111</v>
      </c>
      <c r="B20" s="27" t="n">
        <f aca="false">B10-B19</f>
        <v>26395</v>
      </c>
      <c r="C20" s="27" t="n">
        <f aca="false">C10-C19</f>
        <v>32830</v>
      </c>
      <c r="D20" s="27" t="n">
        <f aca="false">D10-D19</f>
        <v>73295</v>
      </c>
      <c r="E20" s="27" t="n">
        <f aca="false">E10-E19</f>
        <v>82410</v>
      </c>
      <c r="F20" s="27" t="n">
        <f aca="false">F10-F19</f>
        <v>84210</v>
      </c>
    </row>
    <row r="21" customFormat="false" ht="27.75" hidden="false" customHeight="true" outlineLevel="0" collapsed="false">
      <c r="A21" s="11" t="s">
        <v>112</v>
      </c>
      <c r="B21" s="29" t="n">
        <f aca="false">B19/B10</f>
        <v>0.492403846153846</v>
      </c>
      <c r="C21" s="29" t="n">
        <f aca="false">C19/C10</f>
        <v>0.48217665615142</v>
      </c>
      <c r="D21" s="29" t="n">
        <f aca="false">D19/D10</f>
        <v>0.341760215536596</v>
      </c>
      <c r="E21" s="29" t="n">
        <f aca="false">E19/E10</f>
        <v>0.326165167620605</v>
      </c>
      <c r="F21" s="29" t="n">
        <f aca="false">F19/F10</f>
        <v>0.319789983844911</v>
      </c>
      <c r="H21" s="18" t="s">
        <v>113</v>
      </c>
    </row>
    <row r="23" customFormat="false" ht="15" hidden="false" customHeight="false" outlineLevel="0" collapsed="false">
      <c r="A23" s="3" t="s">
        <v>114</v>
      </c>
      <c r="B23" s="4"/>
      <c r="C23" s="4"/>
      <c r="D23" s="4"/>
      <c r="E23" s="4"/>
      <c r="F23" s="4"/>
    </row>
    <row r="24" customFormat="false" ht="15" hidden="false" customHeight="false" outlineLevel="0" collapsed="false">
      <c r="A24" s="8"/>
      <c r="B24" s="9" t="s">
        <v>35</v>
      </c>
      <c r="C24" s="9" t="s">
        <v>36</v>
      </c>
      <c r="D24" s="9" t="s">
        <v>37</v>
      </c>
      <c r="E24" s="9" t="s">
        <v>38</v>
      </c>
      <c r="F24" s="9" t="s">
        <v>39</v>
      </c>
      <c r="G24" s="10"/>
      <c r="H24" s="8" t="s">
        <v>40</v>
      </c>
    </row>
    <row r="25" customFormat="false" ht="15" hidden="false" customHeight="false" outlineLevel="0" collapsed="false">
      <c r="A25" s="11" t="s">
        <v>115</v>
      </c>
      <c r="B25" s="26" t="n">
        <f aca="false">B15*Assumptions!B56</f>
        <v>14212</v>
      </c>
      <c r="C25" s="26" t="n">
        <f aca="false">C15*Assumptions!C56</f>
        <v>18040</v>
      </c>
      <c r="D25" s="26" t="n">
        <f aca="false">D15*Assumptions!D56</f>
        <v>20680</v>
      </c>
      <c r="E25" s="26" t="n">
        <f aca="false">E15*Assumptions!E56</f>
        <v>22000</v>
      </c>
      <c r="F25" s="26" t="n">
        <f aca="false">F15*Assumptions!F56</f>
        <v>22000</v>
      </c>
    </row>
    <row r="26" customFormat="false" ht="15" hidden="false" customHeight="false" outlineLevel="0" collapsed="false">
      <c r="A26" s="11" t="s">
        <v>116</v>
      </c>
      <c r="B26" s="26" t="n">
        <f aca="false">B16*Assumptions!B58</f>
        <v>5404</v>
      </c>
      <c r="C26" s="26" t="n">
        <f aca="false">C16*Assumptions!C58</f>
        <v>5320</v>
      </c>
      <c r="D26" s="26" t="n">
        <f aca="false">D16*Assumptions!D58</f>
        <v>5320</v>
      </c>
      <c r="E26" s="26" t="n">
        <f aca="false">E16*Assumptions!E58</f>
        <v>4760</v>
      </c>
      <c r="F26" s="26" t="n">
        <f aca="false">F16*Assumptions!F58</f>
        <v>4340</v>
      </c>
    </row>
    <row r="27" customFormat="false" ht="15" hidden="false" customHeight="false" outlineLevel="0" collapsed="false">
      <c r="A27" s="11" t="s">
        <v>117</v>
      </c>
      <c r="B27" s="26" t="n">
        <f aca="false">B17*Assumptions!B60</f>
        <v>0</v>
      </c>
      <c r="C27" s="26" t="n">
        <f aca="false">C17*Assumptions!C60</f>
        <v>225</v>
      </c>
      <c r="D27" s="26" t="n">
        <f aca="false">D17*Assumptions!D60</f>
        <v>3375</v>
      </c>
      <c r="E27" s="26" t="n">
        <f aca="false">E17*Assumptions!E60</f>
        <v>4125</v>
      </c>
      <c r="F27" s="26" t="n">
        <f aca="false">F17*Assumptions!F60</f>
        <v>4350</v>
      </c>
    </row>
    <row r="28" customFormat="false" ht="15" hidden="false" customHeight="false" outlineLevel="0" collapsed="false">
      <c r="A28" s="11" t="s">
        <v>118</v>
      </c>
      <c r="B28" s="26" t="n">
        <f aca="false">B18*Assumptions!B62</f>
        <v>84</v>
      </c>
      <c r="C28" s="26" t="n">
        <f aca="false">C18*Assumptions!C62</f>
        <v>84</v>
      </c>
      <c r="D28" s="26" t="n">
        <f aca="false">D18*Assumptions!D62</f>
        <v>73.5</v>
      </c>
      <c r="E28" s="26" t="n">
        <f aca="false">E18*Assumptions!E62</f>
        <v>63</v>
      </c>
      <c r="F28" s="26" t="n">
        <f aca="false">F18*Assumptions!F62</f>
        <v>63</v>
      </c>
    </row>
    <row r="29" customFormat="false" ht="15" hidden="false" customHeight="false" outlineLevel="0" collapsed="false">
      <c r="A29" s="5" t="s">
        <v>119</v>
      </c>
      <c r="B29" s="27" t="n">
        <f aca="false">SUM(B25:B28)</f>
        <v>19700</v>
      </c>
      <c r="C29" s="27" t="n">
        <f aca="false">SUM(C25:C28)</f>
        <v>23669</v>
      </c>
      <c r="D29" s="27" t="n">
        <f aca="false">SUM(D25:D28)</f>
        <v>29448.5</v>
      </c>
      <c r="E29" s="27" t="n">
        <f aca="false">SUM(E25:E28)</f>
        <v>30948</v>
      </c>
      <c r="F29" s="27" t="n">
        <f aca="false">SUM(F25:F28)</f>
        <v>30753</v>
      </c>
    </row>
    <row r="30" customFormat="false" ht="15" hidden="false" customHeight="false" outlineLevel="0" collapsed="false">
      <c r="A30" s="5" t="s">
        <v>120</v>
      </c>
      <c r="B30" s="27" t="n">
        <f aca="false">B19-B29</f>
        <v>5905</v>
      </c>
      <c r="C30" s="27" t="n">
        <f aca="false">C19-C29</f>
        <v>6901</v>
      </c>
      <c r="D30" s="27" t="n">
        <f aca="false">D19-D29</f>
        <v>8606.5</v>
      </c>
      <c r="E30" s="27" t="n">
        <f aca="false">E19-E29</f>
        <v>8942</v>
      </c>
      <c r="F30" s="27" t="n">
        <f aca="false">F19-F29</f>
        <v>8837</v>
      </c>
    </row>
    <row r="31" customFormat="false" ht="27.75" hidden="false" customHeight="true" outlineLevel="0" collapsed="false">
      <c r="A31" s="5" t="s">
        <v>121</v>
      </c>
      <c r="B31" s="30" t="n">
        <f aca="false">B20*6/1000</f>
        <v>158.37</v>
      </c>
      <c r="C31" s="30" t="n">
        <f aca="false">C20*6/1000</f>
        <v>196.98</v>
      </c>
      <c r="D31" s="30" t="n">
        <f aca="false">D20*6/1000</f>
        <v>439.77</v>
      </c>
      <c r="E31" s="30" t="n">
        <f aca="false">E20*6/1000</f>
        <v>494.46</v>
      </c>
      <c r="F31" s="30" t="n">
        <f aca="false">F20*6/1000</f>
        <v>505.26</v>
      </c>
      <c r="H31" s="18" t="s">
        <v>122</v>
      </c>
    </row>
    <row r="33" customFormat="false" ht="15" hidden="false" customHeight="false" outlineLevel="0" collapsed="false">
      <c r="A33" s="31" t="s">
        <v>123</v>
      </c>
      <c r="B33" s="32" t="n">
        <f aca="false">B31*1000/6+B29+B30-B10</f>
        <v>0</v>
      </c>
      <c r="C33" s="32" t="n">
        <f aca="false">C31*1000/6+C29+C30-C10</f>
        <v>0</v>
      </c>
      <c r="D33" s="32" t="n">
        <f aca="false">D31*1000/6+D29+D30-D10</f>
        <v>0</v>
      </c>
      <c r="E33" s="32" t="n">
        <f aca="false">E31*1000/6+E29+E30-E10</f>
        <v>0</v>
      </c>
      <c r="F33" s="32" t="n">
        <f aca="false">F31*1000/6+F29+F30-F10</f>
        <v>0</v>
      </c>
      <c r="H33" s="18" t="s">
        <v>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2"/>
    <col collapsed="false" customWidth="true" hidden="false" outlineLevel="0" max="7" min="7" style="0" width="3"/>
    <col collapsed="false" customWidth="true" hidden="false" outlineLevel="0" max="8" min="8" style="0" width="52"/>
  </cols>
  <sheetData>
    <row r="1" customFormat="false" ht="17.35" hidden="false" customHeight="false" outlineLevel="0" collapsed="false">
      <c r="A1" s="1" t="s">
        <v>125</v>
      </c>
    </row>
    <row r="2" customFormat="false" ht="15" hidden="false" customHeight="false" outlineLevel="0" collapsed="false">
      <c r="A2" s="2" t="s">
        <v>126</v>
      </c>
    </row>
    <row r="4" customFormat="false" ht="15" hidden="false" customHeight="false" outlineLevel="0" collapsed="false">
      <c r="A4" s="3" t="s">
        <v>127</v>
      </c>
      <c r="B4" s="4"/>
      <c r="C4" s="4"/>
      <c r="D4" s="4"/>
      <c r="E4" s="4"/>
      <c r="F4" s="4"/>
    </row>
    <row r="5" customFormat="false" ht="15" hidden="false" customHeight="false" outlineLevel="0" collapsed="false">
      <c r="A5" s="8"/>
      <c r="B5" s="9" t="s">
        <v>35</v>
      </c>
      <c r="C5" s="9" t="s">
        <v>36</v>
      </c>
      <c r="D5" s="9" t="s">
        <v>37</v>
      </c>
      <c r="E5" s="9" t="s">
        <v>38</v>
      </c>
      <c r="F5" s="9" t="s">
        <v>39</v>
      </c>
      <c r="G5" s="10"/>
      <c r="H5" s="8" t="s">
        <v>40</v>
      </c>
    </row>
    <row r="6" customFormat="false" ht="15" hidden="false" customHeight="false" outlineLevel="0" collapsed="false">
      <c r="A6" s="11" t="s">
        <v>128</v>
      </c>
      <c r="B6" s="33" t="n">
        <f aca="false">Production!B31*1000*Assumptions!B40*365/1000000</f>
        <v>201.248281575</v>
      </c>
      <c r="C6" s="33" t="n">
        <f aca="false">Production!C31*1000*Assumptions!C40*365/1000000</f>
        <v>288.2378793</v>
      </c>
      <c r="D6" s="33" t="n">
        <f aca="false">Production!D31*1000*Assumptions!D40*365/1000000</f>
        <v>694.312174275</v>
      </c>
      <c r="E6" s="33" t="n">
        <f aca="false">Production!E31*1000*Assumptions!E40*365/1000000</f>
        <v>799.6975749</v>
      </c>
      <c r="F6" s="33" t="n">
        <f aca="false">Production!F31*1000*Assumptions!F40*365/1000000</f>
        <v>836.62087635</v>
      </c>
    </row>
    <row r="7" customFormat="false" ht="15" hidden="false" customHeight="false" outlineLevel="0" collapsed="false">
      <c r="A7" s="11" t="s">
        <v>129</v>
      </c>
      <c r="B7" s="33" t="n">
        <f aca="false">Production!B29*Assumptions!B41*365/1000000</f>
        <v>788.0788</v>
      </c>
      <c r="C7" s="33" t="n">
        <f aca="false">Production!C29*Assumptions!C41*365/1000000</f>
        <v>881.19687</v>
      </c>
      <c r="D7" s="33" t="n">
        <f aca="false">Production!D29*Assumptions!D41*365/1000000</f>
        <v>1044.773883</v>
      </c>
      <c r="E7" s="33" t="n">
        <f aca="false">Production!E29*Assumptions!E41*365/1000000</f>
        <v>1067.47389</v>
      </c>
      <c r="F7" s="33" t="n">
        <f aca="false">Production!F29*Assumptions!F41*365/1000000</f>
        <v>1060.7478525</v>
      </c>
    </row>
    <row r="8" customFormat="false" ht="15" hidden="false" customHeight="false" outlineLevel="0" collapsed="false">
      <c r="A8" s="11" t="s">
        <v>130</v>
      </c>
      <c r="B8" s="33" t="n">
        <f aca="false">Production!B30*Assumptions!B42*365/1000000</f>
        <v>75.5915584</v>
      </c>
      <c r="C8" s="33" t="n">
        <f aca="false">Production!C30*Assumptions!C42*365/1000000</f>
        <v>82.2157536</v>
      </c>
      <c r="D8" s="33" t="n">
        <f aca="false">Production!D30*Assumptions!D42*365/1000000</f>
        <v>97.70925024</v>
      </c>
      <c r="E8" s="33" t="n">
        <f aca="false">Production!E30*Assumptions!E42*365/1000000</f>
        <v>98.6982192</v>
      </c>
      <c r="F8" s="33" t="n">
        <f aca="false">Production!F30*Assumptions!F42*365/1000000</f>
        <v>97.5392712</v>
      </c>
    </row>
    <row r="9" customFormat="false" ht="15" hidden="false" customHeight="false" outlineLevel="0" collapsed="false">
      <c r="A9" s="5" t="s">
        <v>131</v>
      </c>
      <c r="B9" s="34" t="n">
        <f aca="false">SUM(B6:B8)</f>
        <v>1064.918639975</v>
      </c>
      <c r="C9" s="34" t="n">
        <f aca="false">SUM(C6:C8)</f>
        <v>1251.6505029</v>
      </c>
      <c r="D9" s="34" t="n">
        <f aca="false">SUM(D6:D8)</f>
        <v>1836.795307515</v>
      </c>
      <c r="E9" s="34" t="n">
        <f aca="false">SUM(E6:E8)</f>
        <v>1965.8696841</v>
      </c>
      <c r="F9" s="34" t="n">
        <f aca="false">SUM(F6:F8)</f>
        <v>1994.90800005</v>
      </c>
    </row>
    <row r="10" customFormat="false" ht="27.75" hidden="false" customHeight="true" outlineLevel="0" collapsed="false">
      <c r="A10" s="11" t="s">
        <v>132</v>
      </c>
      <c r="B10" s="17" t="n">
        <f aca="false">B9*1000000/Production!B10/365</f>
        <v>56.1074099038462</v>
      </c>
      <c r="C10" s="17" t="n">
        <f aca="false">C9*1000000/Production!C10/365</f>
        <v>54.0880041009464</v>
      </c>
      <c r="D10" s="17" t="n">
        <f aca="false">D9*1000000/Production!D10/365</f>
        <v>45.1936767938931</v>
      </c>
      <c r="E10" s="17" t="n">
        <f aca="false">E9*1000000/Production!E10/365</f>
        <v>44.0387926410466</v>
      </c>
      <c r="F10" s="17" t="n">
        <f aca="false">F9*1000000/Production!F10/365</f>
        <v>44.1478301292407</v>
      </c>
      <c r="H10" s="18" t="s">
        <v>133</v>
      </c>
    </row>
    <row r="12" customFormat="false" ht="15" hidden="false" customHeight="false" outlineLevel="0" collapsed="false">
      <c r="A12" s="3" t="s">
        <v>134</v>
      </c>
      <c r="B12" s="4"/>
      <c r="C12" s="4"/>
      <c r="D12" s="4"/>
      <c r="E12" s="4"/>
      <c r="F12" s="4"/>
    </row>
    <row r="13" customFormat="false" ht="15" hidden="false" customHeight="false" outlineLevel="0" collapsed="false">
      <c r="A13" s="8"/>
      <c r="B13" s="9" t="s">
        <v>35</v>
      </c>
      <c r="C13" s="9" t="s">
        <v>36</v>
      </c>
      <c r="D13" s="9" t="s">
        <v>37</v>
      </c>
      <c r="E13" s="9" t="s">
        <v>38</v>
      </c>
      <c r="F13" s="9" t="s">
        <v>39</v>
      </c>
      <c r="G13" s="10"/>
      <c r="H13" s="8" t="s">
        <v>40</v>
      </c>
    </row>
    <row r="14" customFormat="false" ht="15" hidden="false" customHeight="false" outlineLevel="0" collapsed="false">
      <c r="A14" s="11" t="s">
        <v>135</v>
      </c>
      <c r="B14" s="33" t="n">
        <f aca="false">-B9*Assumptions!B66</f>
        <v>-58.570525198625</v>
      </c>
      <c r="C14" s="33" t="n">
        <f aca="false">-C9*Assumptions!C66</f>
        <v>-75.099030174</v>
      </c>
      <c r="D14" s="33" t="n">
        <f aca="false">-D9*Assumptions!D66</f>
        <v>-128.57567152605</v>
      </c>
      <c r="E14" s="33" t="n">
        <f aca="false">-E9*Assumptions!E66</f>
        <v>-157.269574728</v>
      </c>
      <c r="F14" s="33" t="n">
        <f aca="false">-F9*Assumptions!F66</f>
        <v>-169.56718000425</v>
      </c>
    </row>
    <row r="15" customFormat="false" ht="15" hidden="false" customHeight="false" outlineLevel="0" collapsed="false">
      <c r="A15" s="11" t="s">
        <v>136</v>
      </c>
      <c r="B15" s="33" t="n">
        <f aca="false">-Production!B10*Assumptions!B67*365/1000000</f>
        <v>-161.33</v>
      </c>
      <c r="C15" s="33" t="n">
        <f aca="false">-Production!C10*Assumptions!C67*365/1000000</f>
        <v>-179.34275</v>
      </c>
      <c r="D15" s="33" t="n">
        <f aca="false">-Production!D10*Assumptions!D67*365/1000000</f>
        <v>-274.3385625</v>
      </c>
      <c r="E15" s="33" t="n">
        <f aca="false">-Production!E10*Assumptions!E67*365/1000000</f>
        <v>-278.996875</v>
      </c>
      <c r="F15" s="33" t="n">
        <f aca="false">-Production!F10*Assumptions!F67*365/1000000</f>
        <v>-275.6407</v>
      </c>
    </row>
    <row r="16" customFormat="false" ht="15" hidden="false" customHeight="false" outlineLevel="0" collapsed="false">
      <c r="A16" s="11" t="s">
        <v>137</v>
      </c>
      <c r="B16" s="33" t="n">
        <f aca="false">-Production!B10*Assumptions!B68*365/1000000</f>
        <v>-90.155</v>
      </c>
      <c r="C16" s="33" t="n">
        <f aca="false">-Production!C10*Assumptions!C68*365/1000000</f>
        <v>-106.4486</v>
      </c>
      <c r="D16" s="33" t="n">
        <f aca="false">-Production!D10*Assumptions!D68*365/1000000</f>
        <v>-172.7316875</v>
      </c>
      <c r="E16" s="33" t="n">
        <f aca="false">-Production!E10*Assumptions!E68*365/1000000</f>
        <v>-183.02195</v>
      </c>
      <c r="F16" s="33" t="n">
        <f aca="false">-Production!F10*Assumptions!F68*365/1000000</f>
        <v>-183.00735</v>
      </c>
    </row>
    <row r="17" customFormat="false" ht="15" hidden="false" customHeight="false" outlineLevel="0" collapsed="false">
      <c r="A17" s="5" t="s">
        <v>138</v>
      </c>
      <c r="B17" s="34" t="n">
        <f aca="false">B9+SUM(B14:B16)</f>
        <v>754.863114776375</v>
      </c>
      <c r="C17" s="34" t="n">
        <f aca="false">C9+SUM(C14:C16)</f>
        <v>890.760122726</v>
      </c>
      <c r="D17" s="34" t="n">
        <f aca="false">D9+SUM(D14:D16)</f>
        <v>1261.14938598895</v>
      </c>
      <c r="E17" s="34" t="n">
        <f aca="false">E9+SUM(E14:E16)</f>
        <v>1346.581284372</v>
      </c>
      <c r="F17" s="34" t="n">
        <f aca="false">F9+SUM(F14:F16)</f>
        <v>1366.69277004575</v>
      </c>
    </row>
    <row r="18" customFormat="false" ht="15" hidden="false" customHeight="false" outlineLevel="0" collapsed="false">
      <c r="A18" s="11" t="s">
        <v>139</v>
      </c>
      <c r="B18" s="33" t="n">
        <f aca="false">Production!B10*Assumptions!B70*365/1000000</f>
        <v>-28.47</v>
      </c>
      <c r="C18" s="33" t="n">
        <f aca="false">Production!C10*Assumptions!C70*365/1000000</f>
        <v>-17.35575</v>
      </c>
      <c r="D18" s="33" t="n">
        <f aca="false">Production!D10*Assumptions!D70*365/1000000</f>
        <v>0</v>
      </c>
      <c r="E18" s="33" t="n">
        <f aca="false">Production!E10*Assumptions!E70*365/1000000</f>
        <v>0</v>
      </c>
      <c r="F18" s="33" t="n">
        <f aca="false">Production!F10*Assumptions!F70*365/1000000</f>
        <v>0</v>
      </c>
    </row>
    <row r="19" customFormat="false" ht="15" hidden="false" customHeight="false" outlineLevel="0" collapsed="false">
      <c r="A19" s="5" t="s">
        <v>140</v>
      </c>
      <c r="B19" s="34" t="n">
        <f aca="false">B17+B18</f>
        <v>726.393114776375</v>
      </c>
      <c r="C19" s="34" t="n">
        <f aca="false">C17+C18</f>
        <v>873.404372726</v>
      </c>
      <c r="D19" s="34" t="n">
        <f aca="false">D17+D18</f>
        <v>1261.14938598895</v>
      </c>
      <c r="E19" s="34" t="n">
        <f aca="false">E17+E18</f>
        <v>1346.581284372</v>
      </c>
      <c r="F19" s="34" t="n">
        <f aca="false">F17+F18</f>
        <v>1366.69277004575</v>
      </c>
    </row>
    <row r="20" customFormat="false" ht="27.75" hidden="false" customHeight="true" outlineLevel="0" collapsed="false">
      <c r="A20" s="11" t="s">
        <v>141</v>
      </c>
      <c r="B20" s="35" t="n">
        <f aca="false">B19*1000000/Production!B10/365</f>
        <v>38.2715023591346</v>
      </c>
      <c r="C20" s="35" t="n">
        <f aca="false">C19*1000000/Production!C10/365</f>
        <v>37.7427238548896</v>
      </c>
      <c r="D20" s="35" t="n">
        <f aca="false">D19*1000000/Production!D10/365</f>
        <v>31.0301194183206</v>
      </c>
      <c r="E20" s="35" t="n">
        <f aca="false">E19*1000000/Production!E10/365</f>
        <v>30.1656892297629</v>
      </c>
      <c r="F20" s="35" t="n">
        <f aca="false">F19*1000000/Production!F10/365</f>
        <v>30.2452645682552</v>
      </c>
      <c r="H20" s="18" t="s">
        <v>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2"/>
    <col collapsed="false" customWidth="true" hidden="false" outlineLevel="0" max="7" min="7" style="0" width="3"/>
    <col collapsed="false" customWidth="true" hidden="false" outlineLevel="0" max="8" min="8" style="0" width="52"/>
  </cols>
  <sheetData>
    <row r="1" customFormat="false" ht="17.35" hidden="false" customHeight="false" outlineLevel="0" collapsed="false">
      <c r="A1" s="1" t="s">
        <v>143</v>
      </c>
    </row>
    <row r="2" customFormat="false" ht="15" hidden="false" customHeight="false" outlineLevel="0" collapsed="false">
      <c r="A2" s="2" t="s">
        <v>144</v>
      </c>
    </row>
    <row r="4" customFormat="false" ht="15" hidden="false" customHeight="false" outlineLevel="0" collapsed="false">
      <c r="A4" s="3" t="s">
        <v>145</v>
      </c>
      <c r="B4" s="4"/>
      <c r="C4" s="4"/>
      <c r="D4" s="4"/>
      <c r="E4" s="4"/>
      <c r="F4" s="4"/>
    </row>
    <row r="5" customFormat="false" ht="15" hidden="false" customHeight="false" outlineLevel="0" collapsed="false">
      <c r="A5" s="8"/>
      <c r="B5" s="9" t="s">
        <v>35</v>
      </c>
      <c r="C5" s="9" t="s">
        <v>36</v>
      </c>
      <c r="D5" s="9" t="s">
        <v>37</v>
      </c>
      <c r="E5" s="9" t="s">
        <v>38</v>
      </c>
      <c r="F5" s="9" t="s">
        <v>39</v>
      </c>
      <c r="G5" s="10"/>
      <c r="H5" s="8" t="s">
        <v>40</v>
      </c>
    </row>
    <row r="6" customFormat="false" ht="15" hidden="false" customHeight="false" outlineLevel="0" collapsed="false">
      <c r="A6" s="14" t="s">
        <v>140</v>
      </c>
      <c r="B6" s="33" t="n">
        <f aca="false">Revenue_Netback!B19</f>
        <v>726.393114776375</v>
      </c>
      <c r="C6" s="33" t="n">
        <f aca="false">Revenue_Netback!C19</f>
        <v>873.404372726</v>
      </c>
      <c r="D6" s="33" t="n">
        <f aca="false">Revenue_Netback!D19</f>
        <v>1261.14938598895</v>
      </c>
      <c r="E6" s="33" t="n">
        <f aca="false">Revenue_Netback!E19</f>
        <v>1346.581284372</v>
      </c>
      <c r="F6" s="33" t="n">
        <f aca="false">Revenue_Netback!F19</f>
        <v>1366.69277004575</v>
      </c>
    </row>
    <row r="7" customFormat="false" ht="15" hidden="false" customHeight="false" outlineLevel="0" collapsed="false">
      <c r="A7" s="11" t="s">
        <v>146</v>
      </c>
      <c r="B7" s="33" t="n">
        <f aca="false">-Production!B10*Assumptions!B69*365/1000000</f>
        <v>-30.368</v>
      </c>
      <c r="C7" s="33" t="n">
        <f aca="false">-Production!C10*Assumptions!C69*365/1000000</f>
        <v>-32.3974</v>
      </c>
      <c r="D7" s="33" t="n">
        <f aca="false">-Production!D10*Assumptions!D69*365/1000000</f>
        <v>-40.64275</v>
      </c>
      <c r="E7" s="33" t="n">
        <f aca="false">-Production!E10*Assumptions!E69*365/1000000</f>
        <v>-40.17555</v>
      </c>
      <c r="F7" s="33" t="n">
        <f aca="false">-Production!F10*Assumptions!F69*365/1000000</f>
        <v>-40.6683</v>
      </c>
    </row>
    <row r="8" customFormat="false" ht="15" hidden="false" customHeight="false" outlineLevel="0" collapsed="false">
      <c r="A8" s="14" t="s">
        <v>147</v>
      </c>
      <c r="B8" s="33" t="n">
        <f aca="false">Assumptions!B72</f>
        <v>12</v>
      </c>
      <c r="C8" s="33" t="n">
        <f aca="false">Assumptions!C72</f>
        <v>4</v>
      </c>
      <c r="D8" s="33" t="n">
        <f aca="false">Assumptions!D72</f>
        <v>-8</v>
      </c>
      <c r="E8" s="33" t="n">
        <f aca="false">Assumptions!E72</f>
        <v>-6</v>
      </c>
      <c r="F8" s="33" t="n">
        <f aca="false">Assumptions!F72</f>
        <v>0</v>
      </c>
    </row>
    <row r="9" customFormat="false" ht="15" hidden="false" customHeight="false" outlineLevel="0" collapsed="false">
      <c r="A9" s="5" t="s">
        <v>148</v>
      </c>
      <c r="B9" s="34" t="n">
        <f aca="false">SUM(B6:B8)</f>
        <v>708.025114776375</v>
      </c>
      <c r="C9" s="34" t="n">
        <f aca="false">SUM(C6:C8)</f>
        <v>845.006972726</v>
      </c>
      <c r="D9" s="34" t="n">
        <f aca="false">SUM(D6:D8)</f>
        <v>1212.50663598895</v>
      </c>
      <c r="E9" s="34" t="n">
        <f aca="false">SUM(E6:E8)</f>
        <v>1300.405734372</v>
      </c>
      <c r="F9" s="34" t="n">
        <f aca="false">SUM(F6:F8)</f>
        <v>1326.02447004575</v>
      </c>
    </row>
    <row r="10" customFormat="false" ht="15" hidden="false" customHeight="false" outlineLevel="0" collapsed="false">
      <c r="A10" s="11" t="s">
        <v>149</v>
      </c>
      <c r="B10" s="33" t="n">
        <f aca="false">-MAX(0,B9)*Assumptions!B71</f>
        <v>-0</v>
      </c>
      <c r="C10" s="33" t="n">
        <f aca="false">-MAX(0,C9)*Assumptions!C71</f>
        <v>-0</v>
      </c>
      <c r="D10" s="33" t="n">
        <f aca="false">-MAX(0,D9)*Assumptions!D71</f>
        <v>-60.6253317994475</v>
      </c>
      <c r="E10" s="33" t="n">
        <f aca="false">-MAX(0,E9)*Assumptions!E71</f>
        <v>-156.04868812464</v>
      </c>
      <c r="F10" s="33" t="n">
        <f aca="false">-MAX(0,F9)*Assumptions!F71</f>
        <v>-238.684404608235</v>
      </c>
    </row>
    <row r="11" customFormat="false" ht="15" hidden="false" customHeight="false" outlineLevel="0" collapsed="false">
      <c r="A11" s="5" t="s">
        <v>150</v>
      </c>
      <c r="B11" s="36" t="n">
        <f aca="false">B9+B10</f>
        <v>708.025114776375</v>
      </c>
      <c r="C11" s="36" t="n">
        <f aca="false">C9+C10</f>
        <v>845.006972726</v>
      </c>
      <c r="D11" s="36" t="n">
        <f aca="false">D9+D10</f>
        <v>1151.8813041895</v>
      </c>
      <c r="E11" s="36" t="n">
        <f aca="false">E9+E10</f>
        <v>1144.35704624736</v>
      </c>
      <c r="F11" s="36" t="n">
        <f aca="false">F9+F10</f>
        <v>1087.34006543752</v>
      </c>
    </row>
    <row r="12" customFormat="false" ht="15" hidden="false" customHeight="false" outlineLevel="0" collapsed="false">
      <c r="A12" s="11" t="s">
        <v>151</v>
      </c>
      <c r="B12" s="17" t="n">
        <f aca="false">B11/Assumptions!B79</f>
        <v>4.8561393331713</v>
      </c>
      <c r="C12" s="17" t="n">
        <f aca="false">C11/Assumptions!C79</f>
        <v>5.79565824914952</v>
      </c>
      <c r="D12" s="17" t="n">
        <f aca="false">D11/Assumptions!D79</f>
        <v>7.90042046769206</v>
      </c>
      <c r="E12" s="17" t="n">
        <f aca="false">E11/Assumptions!E79</f>
        <v>7.84881376026996</v>
      </c>
      <c r="F12" s="17" t="n">
        <f aca="false">F11/Assumptions!F79</f>
        <v>7.4577507917525</v>
      </c>
    </row>
    <row r="14" customFormat="false" ht="15" hidden="false" customHeight="false" outlineLevel="0" collapsed="false">
      <c r="A14" s="3" t="s">
        <v>152</v>
      </c>
      <c r="B14" s="4"/>
      <c r="C14" s="4"/>
      <c r="D14" s="4"/>
      <c r="E14" s="4"/>
      <c r="F14" s="4"/>
    </row>
    <row r="15" customFormat="false" ht="15" hidden="false" customHeight="false" outlineLevel="0" collapsed="false">
      <c r="A15" s="8"/>
      <c r="B15" s="9" t="s">
        <v>35</v>
      </c>
      <c r="C15" s="9" t="s">
        <v>36</v>
      </c>
      <c r="D15" s="9" t="s">
        <v>37</v>
      </c>
      <c r="E15" s="9" t="s">
        <v>38</v>
      </c>
      <c r="F15" s="9" t="s">
        <v>39</v>
      </c>
      <c r="G15" s="10"/>
      <c r="H15" s="8" t="s">
        <v>40</v>
      </c>
    </row>
    <row r="16" customFormat="false" ht="15" hidden="false" customHeight="false" outlineLevel="0" collapsed="false">
      <c r="A16" s="14" t="s">
        <v>153</v>
      </c>
      <c r="B16" s="33" t="n">
        <f aca="false">-Assumptions!B76</f>
        <v>-1050</v>
      </c>
      <c r="C16" s="33" t="n">
        <f aca="false">-Assumptions!C76</f>
        <v>-1000</v>
      </c>
      <c r="D16" s="33" t="n">
        <f aca="false">-Assumptions!D76</f>
        <v>-800</v>
      </c>
      <c r="E16" s="33" t="n">
        <f aca="false">-Assumptions!E76</f>
        <v>-700</v>
      </c>
      <c r="F16" s="33" t="n">
        <f aca="false">-Assumptions!F76</f>
        <v>-700</v>
      </c>
    </row>
    <row r="17" customFormat="false" ht="15" hidden="false" customHeight="false" outlineLevel="0" collapsed="false">
      <c r="A17" s="14" t="s">
        <v>154</v>
      </c>
      <c r="B17" s="33" t="n">
        <f aca="false">-Assumptions!B77</f>
        <v>-35</v>
      </c>
      <c r="C17" s="33" t="n">
        <f aca="false">-Assumptions!C77</f>
        <v>-35</v>
      </c>
      <c r="D17" s="33" t="n">
        <f aca="false">-Assumptions!D77</f>
        <v>-40</v>
      </c>
      <c r="E17" s="33" t="n">
        <f aca="false">-Assumptions!E77</f>
        <v>-40</v>
      </c>
      <c r="F17" s="33" t="n">
        <f aca="false">-Assumptions!F77</f>
        <v>-45</v>
      </c>
    </row>
    <row r="18" customFormat="false" ht="15" hidden="false" customHeight="false" outlineLevel="0" collapsed="false">
      <c r="A18" s="5" t="s">
        <v>155</v>
      </c>
      <c r="B18" s="36" t="n">
        <f aca="false">B11+B16+B17</f>
        <v>-376.974885223625</v>
      </c>
      <c r="C18" s="36" t="n">
        <f aca="false">C11+C16+C17</f>
        <v>-189.993027274</v>
      </c>
      <c r="D18" s="36" t="n">
        <f aca="false">D11+D16+D17</f>
        <v>311.881304189503</v>
      </c>
      <c r="E18" s="36" t="n">
        <f aca="false">E11+E16+E17</f>
        <v>404.357046247361</v>
      </c>
      <c r="F18" s="36" t="n">
        <f aca="false">F11+F16+F17</f>
        <v>342.340065437515</v>
      </c>
    </row>
    <row r="19" customFormat="false" ht="15" hidden="false" customHeight="false" outlineLevel="0" collapsed="false">
      <c r="A19" s="11" t="s">
        <v>156</v>
      </c>
      <c r="B19" s="33" t="n">
        <f aca="false">-Assumptions!B78*Assumptions!B79</f>
        <v>-87.48</v>
      </c>
      <c r="C19" s="33" t="n">
        <f aca="false">-Assumptions!C78*Assumptions!C79</f>
        <v>-87.48</v>
      </c>
      <c r="D19" s="33" t="n">
        <f aca="false">-Assumptions!D78*Assumptions!D79</f>
        <v>-87.48</v>
      </c>
      <c r="E19" s="33" t="n">
        <f aca="false">-Assumptions!E78*Assumptions!E79</f>
        <v>-87.48</v>
      </c>
      <c r="F19" s="33" t="n">
        <f aca="false">-Assumptions!F78*Assumptions!F79</f>
        <v>-87.48</v>
      </c>
    </row>
    <row r="20" customFormat="false" ht="15" hidden="false" customHeight="false" outlineLevel="0" collapsed="false">
      <c r="A20" s="5" t="s">
        <v>157</v>
      </c>
      <c r="B20" s="34" t="n">
        <f aca="false">B18+B19</f>
        <v>-464.454885223625</v>
      </c>
      <c r="C20" s="34" t="n">
        <f aca="false">C18+C19</f>
        <v>-277.473027274</v>
      </c>
      <c r="D20" s="34" t="n">
        <f aca="false">D18+D19</f>
        <v>224.401304189503</v>
      </c>
      <c r="E20" s="34" t="n">
        <f aca="false">E18+E19</f>
        <v>316.877046247361</v>
      </c>
      <c r="F20" s="34" t="n">
        <f aca="false">F18+F19</f>
        <v>254.860065437515</v>
      </c>
    </row>
    <row r="21" customFormat="false" ht="27.75" hidden="false" customHeight="true" outlineLevel="0" collapsed="false">
      <c r="A21" s="11" t="s">
        <v>158</v>
      </c>
      <c r="B21" s="37" t="n">
        <f aca="false">IFERROR(-B16/B11,"n/m")</f>
        <v>1.48299824128645</v>
      </c>
      <c r="C21" s="37" t="n">
        <f aca="false">IFERROR(-C16/C11,"n/m")</f>
        <v>1.18342218736254</v>
      </c>
      <c r="D21" s="37" t="n">
        <f aca="false">IFERROR(-D16/D11,"n/m")</f>
        <v>0.694516003593707</v>
      </c>
      <c r="E21" s="37" t="n">
        <f aca="false">IFERROR(-E16/E11,"n/m")</f>
        <v>0.611697199135077</v>
      </c>
      <c r="F21" s="37" t="n">
        <f aca="false">IFERROR(-F16/F11,"n/m")</f>
        <v>0.643772838185945</v>
      </c>
      <c r="H21" s="18" t="s">
        <v>159</v>
      </c>
    </row>
    <row r="23" customFormat="false" ht="15" hidden="false" customHeight="false" outlineLevel="0" collapsed="false">
      <c r="A23" s="3" t="s">
        <v>160</v>
      </c>
      <c r="B23" s="4"/>
      <c r="C23" s="4"/>
      <c r="D23" s="4"/>
      <c r="E23" s="4"/>
      <c r="F23" s="4"/>
    </row>
    <row r="24" customFormat="false" ht="15" hidden="false" customHeight="false" outlineLevel="0" collapsed="false">
      <c r="A24" s="8"/>
      <c r="B24" s="9" t="s">
        <v>35</v>
      </c>
      <c r="C24" s="9" t="s">
        <v>36</v>
      </c>
      <c r="D24" s="9" t="s">
        <v>37</v>
      </c>
      <c r="E24" s="9" t="s">
        <v>38</v>
      </c>
      <c r="F24" s="9" t="s">
        <v>39</v>
      </c>
      <c r="G24" s="10"/>
      <c r="H24" s="8" t="s">
        <v>40</v>
      </c>
    </row>
    <row r="25" customFormat="false" ht="15" hidden="false" customHeight="false" outlineLevel="0" collapsed="false">
      <c r="A25" s="11" t="s">
        <v>161</v>
      </c>
      <c r="B25" s="33" t="n">
        <f aca="false">Assumptions!B80</f>
        <v>672.8</v>
      </c>
      <c r="C25" s="33" t="n">
        <f aca="false">B27</f>
        <v>208.345114776375</v>
      </c>
      <c r="D25" s="33" t="n">
        <f aca="false">C27</f>
        <v>-69.127912497625</v>
      </c>
      <c r="E25" s="33" t="n">
        <f aca="false">D27</f>
        <v>155.273391691878</v>
      </c>
      <c r="F25" s="33" t="n">
        <f aca="false">E27</f>
        <v>472.150437939238</v>
      </c>
    </row>
    <row r="26" customFormat="false" ht="15" hidden="false" customHeight="false" outlineLevel="0" collapsed="false">
      <c r="A26" s="14" t="s">
        <v>157</v>
      </c>
      <c r="B26" s="33" t="n">
        <f aca="false">B20</f>
        <v>-464.454885223625</v>
      </c>
      <c r="C26" s="33" t="n">
        <f aca="false">C20</f>
        <v>-277.473027274</v>
      </c>
      <c r="D26" s="33" t="n">
        <f aca="false">D20</f>
        <v>224.401304189503</v>
      </c>
      <c r="E26" s="33" t="n">
        <f aca="false">E20</f>
        <v>316.877046247361</v>
      </c>
      <c r="F26" s="33" t="n">
        <f aca="false">F20</f>
        <v>254.860065437515</v>
      </c>
    </row>
    <row r="27" customFormat="false" ht="27.75" hidden="false" customHeight="true" outlineLevel="0" collapsed="false">
      <c r="A27" s="5" t="s">
        <v>162</v>
      </c>
      <c r="B27" s="36" t="n">
        <f aca="false">B25+B26</f>
        <v>208.345114776375</v>
      </c>
      <c r="C27" s="36" t="n">
        <f aca="false">C25+C26</f>
        <v>-69.127912497625</v>
      </c>
      <c r="D27" s="36" t="n">
        <f aca="false">D25+D26</f>
        <v>155.273391691878</v>
      </c>
      <c r="E27" s="36" t="n">
        <f aca="false">E25+E26</f>
        <v>472.150437939238</v>
      </c>
      <c r="F27" s="36" t="n">
        <f aca="false">F25+F26</f>
        <v>727.010503376753</v>
      </c>
      <c r="H27" s="18" t="s">
        <v>163</v>
      </c>
    </row>
    <row r="29" customFormat="false" ht="27.75" hidden="false" customHeight="true" outlineLevel="0" collapsed="false">
      <c r="A29" s="11" t="s">
        <v>164</v>
      </c>
      <c r="B29" s="37" t="n">
        <f aca="false">IFERROR(MAX(0,-B27)/B11,"n/m")</f>
        <v>0</v>
      </c>
      <c r="C29" s="37" t="n">
        <f aca="false">IFERROR(MAX(0,-C27)/C11,"n/m")</f>
        <v>0.0818075054157455</v>
      </c>
      <c r="D29" s="37" t="n">
        <f aca="false">IFERROR(MAX(0,-D27)/D11,"n/m")</f>
        <v>0</v>
      </c>
      <c r="E29" s="37" t="n">
        <f aca="false">IFERROR(MAX(0,-E27)/E11,"n/m")</f>
        <v>0</v>
      </c>
      <c r="F29" s="37" t="n">
        <f aca="false">IFERROR(MAX(0,-F27)/F11,"n/m")</f>
        <v>0</v>
      </c>
      <c r="H29" s="18" t="s">
        <v>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3"/>
    <col collapsed="false" customWidth="true" hidden="false" outlineLevel="0" max="7" min="7" style="0" width="3"/>
    <col collapsed="false" customWidth="true" hidden="false" outlineLevel="0" max="8" min="8" style="0" width="50"/>
  </cols>
  <sheetData>
    <row r="1" customFormat="false" ht="17.35" hidden="false" customHeight="false" outlineLevel="0" collapsed="false">
      <c r="A1" s="1" t="s">
        <v>166</v>
      </c>
    </row>
    <row r="2" customFormat="false" ht="15" hidden="false" customHeight="false" outlineLevel="0" collapsed="false">
      <c r="A2" s="2" t="s">
        <v>167</v>
      </c>
    </row>
    <row r="4" customFormat="false" ht="15" hidden="false" customHeight="false" outlineLevel="0" collapsed="false">
      <c r="A4" s="3" t="s">
        <v>168</v>
      </c>
      <c r="B4" s="4"/>
      <c r="C4" s="4"/>
      <c r="D4" s="4"/>
      <c r="E4" s="4"/>
      <c r="F4" s="4"/>
    </row>
    <row r="5" customFormat="false" ht="15" hidden="false" customHeight="false" outlineLevel="0" collapsed="false">
      <c r="A5" s="8"/>
      <c r="B5" s="9" t="s">
        <v>35</v>
      </c>
      <c r="C5" s="9" t="s">
        <v>36</v>
      </c>
      <c r="D5" s="9" t="s">
        <v>37</v>
      </c>
      <c r="E5" s="9" t="s">
        <v>38</v>
      </c>
      <c r="F5" s="9" t="s">
        <v>39</v>
      </c>
      <c r="G5" s="10"/>
      <c r="H5" s="8" t="s">
        <v>40</v>
      </c>
    </row>
    <row r="6" customFormat="false" ht="15" hidden="false" customHeight="false" outlineLevel="0" collapsed="false">
      <c r="A6" s="14" t="s">
        <v>169</v>
      </c>
      <c r="B6" s="26" t="n">
        <f aca="false">Production!B10</f>
        <v>52000</v>
      </c>
      <c r="C6" s="26" t="n">
        <f aca="false">Production!C10</f>
        <v>63400</v>
      </c>
      <c r="D6" s="26" t="n">
        <f aca="false">Production!D10</f>
        <v>111350</v>
      </c>
      <c r="E6" s="26" t="n">
        <f aca="false">Production!E10</f>
        <v>122300</v>
      </c>
      <c r="F6" s="26" t="n">
        <f aca="false">Production!F10</f>
        <v>123800</v>
      </c>
    </row>
    <row r="7" customFormat="false" ht="15" hidden="false" customHeight="false" outlineLevel="0" collapsed="false">
      <c r="A7" s="14" t="s">
        <v>170</v>
      </c>
      <c r="B7" s="28" t="n">
        <f aca="false">Production!B21</f>
        <v>0.492403846153846</v>
      </c>
      <c r="C7" s="28" t="n">
        <f aca="false">Production!C21</f>
        <v>0.48217665615142</v>
      </c>
      <c r="D7" s="28" t="n">
        <f aca="false">Production!D21</f>
        <v>0.341760215536596</v>
      </c>
      <c r="E7" s="28" t="n">
        <f aca="false">Production!E21</f>
        <v>0.326165167620605</v>
      </c>
      <c r="F7" s="28" t="n">
        <f aca="false">Production!F21</f>
        <v>0.319789983844911</v>
      </c>
    </row>
    <row r="8" customFormat="false" ht="15" hidden="false" customHeight="false" outlineLevel="0" collapsed="false">
      <c r="A8" s="14" t="s">
        <v>171</v>
      </c>
      <c r="B8" s="33" t="n">
        <f aca="false">Revenue_Netback!B9</f>
        <v>1064.918639975</v>
      </c>
      <c r="C8" s="33" t="n">
        <f aca="false">Revenue_Netback!C9</f>
        <v>1251.6505029</v>
      </c>
      <c r="D8" s="33" t="n">
        <f aca="false">Revenue_Netback!D9</f>
        <v>1836.795307515</v>
      </c>
      <c r="E8" s="33" t="n">
        <f aca="false">Revenue_Netback!E9</f>
        <v>1965.8696841</v>
      </c>
      <c r="F8" s="33" t="n">
        <f aca="false">Revenue_Netback!F9</f>
        <v>1994.90800005</v>
      </c>
    </row>
    <row r="9" customFormat="false" ht="15" hidden="false" customHeight="false" outlineLevel="0" collapsed="false">
      <c r="A9" s="14" t="s">
        <v>172</v>
      </c>
      <c r="B9" s="17" t="n">
        <f aca="false">Revenue_Netback!B20</f>
        <v>38.2715023591346</v>
      </c>
      <c r="C9" s="17" t="n">
        <f aca="false">Revenue_Netback!C20</f>
        <v>37.7427238548896</v>
      </c>
      <c r="D9" s="17" t="n">
        <f aca="false">Revenue_Netback!D20</f>
        <v>31.0301194183206</v>
      </c>
      <c r="E9" s="17" t="n">
        <f aca="false">Revenue_Netback!E20</f>
        <v>30.1656892297629</v>
      </c>
      <c r="F9" s="17" t="n">
        <f aca="false">Revenue_Netback!F20</f>
        <v>30.2452645682552</v>
      </c>
    </row>
    <row r="10" customFormat="false" ht="15" hidden="false" customHeight="false" outlineLevel="0" collapsed="false">
      <c r="A10" s="14" t="s">
        <v>173</v>
      </c>
      <c r="B10" s="38" t="n">
        <f aca="false">Cash_Flow!B11</f>
        <v>708.025114776375</v>
      </c>
      <c r="C10" s="38" t="n">
        <f aca="false">Cash_Flow!C11</f>
        <v>845.006972726</v>
      </c>
      <c r="D10" s="38" t="n">
        <f aca="false">Cash_Flow!D11</f>
        <v>1151.8813041895</v>
      </c>
      <c r="E10" s="38" t="n">
        <f aca="false">Cash_Flow!E11</f>
        <v>1144.35704624736</v>
      </c>
      <c r="F10" s="38" t="n">
        <f aca="false">Cash_Flow!F11</f>
        <v>1087.34006543752</v>
      </c>
    </row>
    <row r="11" customFormat="false" ht="15" hidden="false" customHeight="false" outlineLevel="0" collapsed="false">
      <c r="A11" s="14" t="s">
        <v>91</v>
      </c>
      <c r="B11" s="33" t="n">
        <f aca="false">Assumptions!B76</f>
        <v>1050</v>
      </c>
      <c r="C11" s="33" t="n">
        <f aca="false">Assumptions!C76</f>
        <v>1000</v>
      </c>
      <c r="D11" s="33" t="n">
        <f aca="false">Assumptions!D76</f>
        <v>800</v>
      </c>
      <c r="E11" s="33" t="n">
        <f aca="false">Assumptions!E76</f>
        <v>700</v>
      </c>
      <c r="F11" s="33" t="n">
        <f aca="false">Assumptions!F76</f>
        <v>700</v>
      </c>
    </row>
    <row r="12" customFormat="false" ht="15" hidden="false" customHeight="false" outlineLevel="0" collapsed="false">
      <c r="A12" s="14" t="s">
        <v>174</v>
      </c>
      <c r="B12" s="38" t="n">
        <f aca="false">Cash_Flow!B18</f>
        <v>-376.974885223625</v>
      </c>
      <c r="C12" s="38" t="n">
        <f aca="false">Cash_Flow!C18</f>
        <v>-189.993027274</v>
      </c>
      <c r="D12" s="38" t="n">
        <f aca="false">Cash_Flow!D18</f>
        <v>311.881304189503</v>
      </c>
      <c r="E12" s="38" t="n">
        <f aca="false">Cash_Flow!E18</f>
        <v>404.357046247361</v>
      </c>
      <c r="F12" s="38" t="n">
        <f aca="false">Cash_Flow!F18</f>
        <v>342.340065437515</v>
      </c>
    </row>
    <row r="13" customFormat="false" ht="15" hidden="false" customHeight="false" outlineLevel="0" collapsed="false">
      <c r="A13" s="14" t="s">
        <v>175</v>
      </c>
      <c r="B13" s="38" t="n">
        <f aca="false">Cash_Flow!B27</f>
        <v>208.345114776375</v>
      </c>
      <c r="C13" s="38" t="n">
        <f aca="false">Cash_Flow!C27</f>
        <v>-69.127912497625</v>
      </c>
      <c r="D13" s="38" t="n">
        <f aca="false">Cash_Flow!D27</f>
        <v>155.273391691878</v>
      </c>
      <c r="E13" s="38" t="n">
        <f aca="false">Cash_Flow!E27</f>
        <v>472.150437939238</v>
      </c>
      <c r="F13" s="38" t="n">
        <f aca="false">Cash_Flow!F27</f>
        <v>727.010503376753</v>
      </c>
    </row>
    <row r="15" customFormat="false" ht="15" hidden="false" customHeight="false" outlineLevel="0" collapsed="false">
      <c r="A15" s="3" t="s">
        <v>176</v>
      </c>
      <c r="B15" s="4"/>
      <c r="C15" s="4"/>
      <c r="D15" s="4"/>
      <c r="E15" s="4"/>
      <c r="F15" s="4"/>
    </row>
    <row r="16" customFormat="false" ht="15" hidden="false" customHeight="false" outlineLevel="0" collapsed="false">
      <c r="A16" s="8" t="s">
        <v>177</v>
      </c>
      <c r="B16" s="9" t="s">
        <v>178</v>
      </c>
      <c r="C16" s="9" t="s">
        <v>179</v>
      </c>
      <c r="D16" s="9" t="s">
        <v>180</v>
      </c>
      <c r="E16" s="9" t="s">
        <v>181</v>
      </c>
      <c r="F16" s="10"/>
    </row>
    <row r="17" customFormat="false" ht="15" hidden="false" customHeight="false" outlineLevel="0" collapsed="false">
      <c r="A17" s="5" t="s">
        <v>182</v>
      </c>
      <c r="B17" s="26" t="n">
        <f aca="false">B6</f>
        <v>52000</v>
      </c>
      <c r="C17" s="39" t="n">
        <v>51000</v>
      </c>
      <c r="D17" s="39" t="n">
        <v>53000</v>
      </c>
      <c r="E17" s="40" t="str">
        <f aca="false">IF(AND(B17&gt;=C17,B17&lt;=D17),"IN RANGE","OUTSIDE — REVIEW")</f>
        <v>IN RANGE</v>
      </c>
    </row>
    <row r="18" customFormat="false" ht="15" hidden="false" customHeight="false" outlineLevel="0" collapsed="false">
      <c r="A18" s="5" t="s">
        <v>183</v>
      </c>
      <c r="B18" s="26" t="n">
        <f aca="false">C6</f>
        <v>63400</v>
      </c>
      <c r="C18" s="39" t="n">
        <v>60000</v>
      </c>
      <c r="D18" s="39" t="n">
        <v>65000</v>
      </c>
      <c r="E18" s="40" t="str">
        <f aca="false">IF(AND(B18&gt;=C18,B18&lt;=D18),"IN RANGE","OUTSIDE — REVIEW")</f>
        <v>IN RANGE</v>
      </c>
    </row>
    <row r="19" customFormat="false" ht="15" hidden="false" customHeight="false" outlineLevel="0" collapsed="false">
      <c r="A19" s="5" t="s">
        <v>184</v>
      </c>
      <c r="B19" s="33" t="n">
        <f aca="false">B11</f>
        <v>1050</v>
      </c>
      <c r="C19" s="25" t="n">
        <v>1000</v>
      </c>
      <c r="D19" s="25" t="n">
        <v>1100</v>
      </c>
      <c r="E19" s="40" t="str">
        <f aca="false">IF(AND(B19&gt;=C19,B19&lt;=D19),"IN RANGE","OUTSIDE — REVIEW")</f>
        <v>IN RANGE</v>
      </c>
    </row>
    <row r="20" customFormat="false" ht="15" hidden="false" customHeight="false" outlineLevel="0" collapsed="false">
      <c r="A20" s="5" t="s">
        <v>185</v>
      </c>
      <c r="B20" s="33" t="n">
        <f aca="false">C11</f>
        <v>1000</v>
      </c>
      <c r="C20" s="25" t="n">
        <v>950</v>
      </c>
      <c r="D20" s="25" t="n">
        <v>1050</v>
      </c>
      <c r="E20" s="40" t="str">
        <f aca="false">IF(AND(B20&gt;=C20,B20&lt;=D20),"IN RANGE","OUTSIDE — REVIEW")</f>
        <v>IN RANGE</v>
      </c>
    </row>
    <row r="22" customFormat="false" ht="15" hidden="false" customHeight="false" outlineLevel="0" collapsed="false">
      <c r="A22" s="5" t="s">
        <v>186</v>
      </c>
      <c r="B22" s="32" t="n">
        <f aca="false">SUM(Production!B33:F33)</f>
        <v>0</v>
      </c>
      <c r="E22" s="40" t="str">
        <f aca="false">IF(ABS(B22)&lt;0.01,"OK","ERROR")</f>
        <v>OK</v>
      </c>
    </row>
    <row r="24" customFormat="false" ht="15" hidden="false" customHeight="false" outlineLevel="0" collapsed="false">
      <c r="A24" s="3" t="s">
        <v>187</v>
      </c>
      <c r="B24" s="4"/>
      <c r="C24" s="4"/>
      <c r="D24" s="4"/>
      <c r="E24" s="4"/>
      <c r="F24" s="4"/>
    </row>
    <row r="25" customFormat="false" ht="25.5" hidden="false" customHeight="true" outlineLevel="0" collapsed="false">
      <c r="A25" s="41" t="s">
        <v>188</v>
      </c>
      <c r="B25" s="41"/>
      <c r="C25" s="41"/>
      <c r="D25" s="41"/>
      <c r="E25" s="41"/>
      <c r="F25" s="41"/>
    </row>
    <row r="26" customFormat="false" ht="25.5" hidden="false" customHeight="true" outlineLevel="0" collapsed="false">
      <c r="A26" s="41" t="s">
        <v>189</v>
      </c>
      <c r="B26" s="41"/>
      <c r="C26" s="41"/>
      <c r="D26" s="41"/>
      <c r="E26" s="41"/>
      <c r="F26" s="41"/>
    </row>
    <row r="27" customFormat="false" ht="25.5" hidden="false" customHeight="true" outlineLevel="0" collapsed="false">
      <c r="A27" s="41" t="s">
        <v>190</v>
      </c>
      <c r="B27" s="41"/>
      <c r="C27" s="41"/>
      <c r="D27" s="41"/>
      <c r="E27" s="41"/>
      <c r="F27" s="41"/>
    </row>
  </sheetData>
  <mergeCells count="3">
    <mergeCell ref="A25:F25"/>
    <mergeCell ref="A26:F26"/>
    <mergeCell ref="A27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2026-08-25T19:13:48Z</dcterms:created>
  <dc:creator>openpyxl</dc:creator>
  <dc:description/>
  <dc:language>en-US</dc:language>
  <cp:lastModifiedBy/>
  <dcterms:modified xsi:type="dcterms:W3CDTF">2026-08-25T19:13:48Z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